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sbno-my.sharepoint.com/personal/herman_christensen_valg_no/Documents/Valgoppgjør/Manuelle valgoppgjør 2023/"/>
    </mc:Choice>
  </mc:AlternateContent>
  <xr:revisionPtr revIDLastSave="3663" documentId="8_{38BB9B8C-E9EF-40BF-BC02-27091589FA3F}" xr6:coauthVersionLast="47" xr6:coauthVersionMax="47" xr10:uidLastSave="{2A9EB434-1E69-4C67-8F97-5A8914E7A0B9}"/>
  <bookViews>
    <workbookView xWindow="48000" yWindow="0" windowWidth="19200" windowHeight="15600" xr2:uid="{00000000-000D-0000-FFFF-FFFF00000000}"/>
  </bookViews>
  <sheets>
    <sheet name="Mandatfordeling" sheetId="4" r:id="rId1"/>
    <sheet name="Parti - Kandidatkåring" sheetId="2" state="hidden" r:id="rId2"/>
    <sheet name="Nytt valgoppgjør" sheetId="3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6" i="4" l="1"/>
  <c r="E26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D10" i="4"/>
  <c r="E4" i="2"/>
  <c r="F11" i="2" s="1"/>
  <c r="G26" i="4" l="1"/>
  <c r="F8" i="2"/>
  <c r="F9" i="2"/>
  <c r="G9" i="2" s="1"/>
  <c r="F7" i="2"/>
  <c r="G7" i="2" s="1"/>
  <c r="F10" i="2"/>
  <c r="G10" i="2" s="1"/>
  <c r="G11" i="2"/>
  <c r="G8" i="2"/>
  <c r="G12" i="2"/>
  <c r="G13" i="2"/>
  <c r="G14" i="2"/>
  <c r="G15" i="2"/>
  <c r="G16" i="2"/>
  <c r="G17" i="2"/>
  <c r="G18" i="2"/>
  <c r="G19" i="2"/>
  <c r="G20" i="2"/>
  <c r="G21" i="2"/>
  <c r="G22" i="2"/>
  <c r="D8" i="4"/>
  <c r="D9" i="4"/>
  <c r="D18" i="4"/>
  <c r="D17" i="4"/>
  <c r="D16" i="4"/>
  <c r="D15" i="4"/>
  <c r="D14" i="4"/>
  <c r="D13" i="4"/>
  <c r="D12" i="4"/>
  <c r="D11" i="4"/>
  <c r="D7" i="4"/>
  <c r="D6" i="4"/>
  <c r="G6" i="4" s="1"/>
  <c r="B29" i="4" l="1"/>
  <c r="Z29" i="4" l="1"/>
  <c r="AD29" i="4"/>
  <c r="AH29" i="4"/>
  <c r="AL29" i="4"/>
  <c r="AQ29" i="4"/>
  <c r="AU29" i="4"/>
  <c r="AY29" i="4"/>
  <c r="BC29" i="4"/>
  <c r="BG29" i="4"/>
  <c r="BK29" i="4"/>
  <c r="BO29" i="4"/>
  <c r="BS29" i="4"/>
  <c r="BW29" i="4"/>
  <c r="CA29" i="4"/>
  <c r="CE29" i="4"/>
  <c r="CI29" i="4"/>
  <c r="I29" i="4"/>
  <c r="Y29" i="4"/>
  <c r="AE29" i="4"/>
  <c r="AJ29" i="4"/>
  <c r="AP29" i="4"/>
  <c r="AV29" i="4"/>
  <c r="BA29" i="4"/>
  <c r="BF29" i="4"/>
  <c r="BL29" i="4"/>
  <c r="BQ29" i="4"/>
  <c r="BV29" i="4"/>
  <c r="CB29" i="4"/>
  <c r="CG29" i="4"/>
  <c r="AA29" i="4"/>
  <c r="AF29" i="4"/>
  <c r="AK29" i="4"/>
  <c r="AR29" i="4"/>
  <c r="AW29" i="4"/>
  <c r="BB29" i="4"/>
  <c r="BH29" i="4"/>
  <c r="BM29" i="4"/>
  <c r="BR29" i="4"/>
  <c r="BX29" i="4"/>
  <c r="CC29" i="4"/>
  <c r="CH29" i="4"/>
  <c r="AN29" i="4"/>
  <c r="AB29" i="4"/>
  <c r="AG29" i="4"/>
  <c r="AM29" i="4"/>
  <c r="AS29" i="4"/>
  <c r="AX29" i="4"/>
  <c r="BD29" i="4"/>
  <c r="BI29" i="4"/>
  <c r="BN29" i="4"/>
  <c r="BT29" i="4"/>
  <c r="BY29" i="4"/>
  <c r="CD29" i="4"/>
  <c r="CJ29" i="4"/>
  <c r="X29" i="4"/>
  <c r="AT29" i="4"/>
  <c r="BP29" i="4"/>
  <c r="AC29" i="4"/>
  <c r="AZ29" i="4"/>
  <c r="BU29" i="4"/>
  <c r="AI29" i="4"/>
  <c r="BE29" i="4"/>
  <c r="BZ29" i="4"/>
  <c r="AO29" i="4"/>
  <c r="BJ29" i="4"/>
  <c r="CF29" i="4"/>
  <c r="E29" i="4"/>
  <c r="M29" i="4"/>
  <c r="Q29" i="4"/>
  <c r="U29" i="4"/>
  <c r="F29" i="4"/>
  <c r="N29" i="4"/>
  <c r="V29" i="4"/>
  <c r="C29" i="4"/>
  <c r="G29" i="4"/>
  <c r="K29" i="4"/>
  <c r="O29" i="4"/>
  <c r="S29" i="4"/>
  <c r="W29" i="4"/>
  <c r="D29" i="4"/>
  <c r="H29" i="4"/>
  <c r="L29" i="4"/>
  <c r="P29" i="4"/>
  <c r="T29" i="4"/>
  <c r="J29" i="4"/>
  <c r="R29" i="4"/>
  <c r="G15" i="4"/>
  <c r="G14" i="4"/>
  <c r="G13" i="4"/>
  <c r="G11" i="4"/>
  <c r="G17" i="4"/>
  <c r="G18" i="4"/>
  <c r="D19" i="4"/>
  <c r="G19" i="4" s="1"/>
  <c r="D20" i="4"/>
  <c r="G20" i="4" s="1"/>
  <c r="D21" i="4"/>
  <c r="G21" i="4" s="1"/>
  <c r="D22" i="4"/>
  <c r="G22" i="4" s="1"/>
  <c r="D23" i="4"/>
  <c r="G23" i="4" s="1"/>
  <c r="D24" i="4"/>
  <c r="G24" i="4" s="1"/>
  <c r="D25" i="4"/>
  <c r="G25" i="4" s="1"/>
  <c r="CJ43" i="4" l="1"/>
  <c r="CB43" i="4"/>
  <c r="BT43" i="4"/>
  <c r="BL43" i="4"/>
  <c r="BD43" i="4"/>
  <c r="AV43" i="4"/>
  <c r="AN43" i="4"/>
  <c r="AF43" i="4"/>
  <c r="X43" i="4"/>
  <c r="P43" i="4"/>
  <c r="H43" i="4"/>
  <c r="AW43" i="4"/>
  <c r="I43" i="4"/>
  <c r="CI43" i="4"/>
  <c r="CA43" i="4"/>
  <c r="BS43" i="4"/>
  <c r="BK43" i="4"/>
  <c r="BC43" i="4"/>
  <c r="AU43" i="4"/>
  <c r="AM43" i="4"/>
  <c r="AE43" i="4"/>
  <c r="W43" i="4"/>
  <c r="O43" i="4"/>
  <c r="G43" i="4"/>
  <c r="F43" i="4"/>
  <c r="AO43" i="4"/>
  <c r="CH43" i="4"/>
  <c r="BZ43" i="4"/>
  <c r="BR43" i="4"/>
  <c r="BJ43" i="4"/>
  <c r="BB43" i="4"/>
  <c r="AT43" i="4"/>
  <c r="AL43" i="4"/>
  <c r="AD43" i="4"/>
  <c r="V43" i="4"/>
  <c r="N43" i="4"/>
  <c r="Y43" i="4"/>
  <c r="CG43" i="4"/>
  <c r="BY43" i="4"/>
  <c r="BQ43" i="4"/>
  <c r="BI43" i="4"/>
  <c r="BA43" i="4"/>
  <c r="AS43" i="4"/>
  <c r="AK43" i="4"/>
  <c r="AC43" i="4"/>
  <c r="U43" i="4"/>
  <c r="M43" i="4"/>
  <c r="E43" i="4"/>
  <c r="BM43" i="4"/>
  <c r="AG43" i="4"/>
  <c r="CF43" i="4"/>
  <c r="BX43" i="4"/>
  <c r="BP43" i="4"/>
  <c r="BH43" i="4"/>
  <c r="AZ43" i="4"/>
  <c r="AR43" i="4"/>
  <c r="AJ43" i="4"/>
  <c r="AB43" i="4"/>
  <c r="T43" i="4"/>
  <c r="L43" i="4"/>
  <c r="D43" i="4"/>
  <c r="BE43" i="4"/>
  <c r="CE43" i="4"/>
  <c r="BW43" i="4"/>
  <c r="BO43" i="4"/>
  <c r="BG43" i="4"/>
  <c r="AY43" i="4"/>
  <c r="AQ43" i="4"/>
  <c r="AI43" i="4"/>
  <c r="AA43" i="4"/>
  <c r="S43" i="4"/>
  <c r="K43" i="4"/>
  <c r="C43" i="4"/>
  <c r="CC43" i="4"/>
  <c r="CD43" i="4"/>
  <c r="BV43" i="4"/>
  <c r="BN43" i="4"/>
  <c r="BF43" i="4"/>
  <c r="AX43" i="4"/>
  <c r="AP43" i="4"/>
  <c r="AH43" i="4"/>
  <c r="Z43" i="4"/>
  <c r="R43" i="4"/>
  <c r="J43" i="4"/>
  <c r="B43" i="4"/>
  <c r="BU43" i="4"/>
  <c r="Q43" i="4"/>
  <c r="CI42" i="4"/>
  <c r="CA42" i="4"/>
  <c r="BS42" i="4"/>
  <c r="BK42" i="4"/>
  <c r="BC42" i="4"/>
  <c r="AU42" i="4"/>
  <c r="AM42" i="4"/>
  <c r="AE42" i="4"/>
  <c r="W42" i="4"/>
  <c r="O42" i="4"/>
  <c r="G42" i="4"/>
  <c r="L42" i="4"/>
  <c r="BV42" i="4"/>
  <c r="AP42" i="4"/>
  <c r="B42" i="4"/>
  <c r="AG42" i="4"/>
  <c r="AN42" i="4"/>
  <c r="CH42" i="4"/>
  <c r="BZ42" i="4"/>
  <c r="BR42" i="4"/>
  <c r="BJ42" i="4"/>
  <c r="BB42" i="4"/>
  <c r="AT42" i="4"/>
  <c r="AL42" i="4"/>
  <c r="AD42" i="4"/>
  <c r="V42" i="4"/>
  <c r="N42" i="4"/>
  <c r="F42" i="4"/>
  <c r="Z42" i="4"/>
  <c r="BT42" i="4"/>
  <c r="CG42" i="4"/>
  <c r="BY42" i="4"/>
  <c r="BQ42" i="4"/>
  <c r="BI42" i="4"/>
  <c r="BA42" i="4"/>
  <c r="AS42" i="4"/>
  <c r="AK42" i="4"/>
  <c r="AC42" i="4"/>
  <c r="U42" i="4"/>
  <c r="M42" i="4"/>
  <c r="E42" i="4"/>
  <c r="BN42" i="4"/>
  <c r="J42" i="4"/>
  <c r="I42" i="4"/>
  <c r="AV42" i="4"/>
  <c r="CF42" i="4"/>
  <c r="BX42" i="4"/>
  <c r="BP42" i="4"/>
  <c r="BH42" i="4"/>
  <c r="AZ42" i="4"/>
  <c r="AR42" i="4"/>
  <c r="AJ42" i="4"/>
  <c r="AB42" i="4"/>
  <c r="T42" i="4"/>
  <c r="D42" i="4"/>
  <c r="AH42" i="4"/>
  <c r="BL42" i="4"/>
  <c r="CE42" i="4"/>
  <c r="BW42" i="4"/>
  <c r="BO42" i="4"/>
  <c r="BG42" i="4"/>
  <c r="AY42" i="4"/>
  <c r="AQ42" i="4"/>
  <c r="AI42" i="4"/>
  <c r="AA42" i="4"/>
  <c r="S42" i="4"/>
  <c r="K42" i="4"/>
  <c r="C42" i="4"/>
  <c r="CD42" i="4"/>
  <c r="BF42" i="4"/>
  <c r="R42" i="4"/>
  <c r="AW42" i="4"/>
  <c r="Y42" i="4"/>
  <c r="AF42" i="4"/>
  <c r="AX42" i="4"/>
  <c r="CC42" i="4"/>
  <c r="BU42" i="4"/>
  <c r="BM42" i="4"/>
  <c r="BE42" i="4"/>
  <c r="AO42" i="4"/>
  <c r="Q42" i="4"/>
  <c r="X42" i="4"/>
  <c r="H42" i="4"/>
  <c r="CJ42" i="4"/>
  <c r="CB42" i="4"/>
  <c r="BD42" i="4"/>
  <c r="P42" i="4"/>
  <c r="CH41" i="4"/>
  <c r="BZ41" i="4"/>
  <c r="BR41" i="4"/>
  <c r="BJ41" i="4"/>
  <c r="BB41" i="4"/>
  <c r="AT41" i="4"/>
  <c r="AL41" i="4"/>
  <c r="AD41" i="4"/>
  <c r="V41" i="4"/>
  <c r="N41" i="4"/>
  <c r="F41" i="4"/>
  <c r="M41" i="4"/>
  <c r="AB41" i="4"/>
  <c r="CG41" i="4"/>
  <c r="BY41" i="4"/>
  <c r="BQ41" i="4"/>
  <c r="BI41" i="4"/>
  <c r="BA41" i="4"/>
  <c r="AS41" i="4"/>
  <c r="AK41" i="4"/>
  <c r="AC41" i="4"/>
  <c r="U41" i="4"/>
  <c r="E41" i="4"/>
  <c r="L41" i="4"/>
  <c r="CF41" i="4"/>
  <c r="BX41" i="4"/>
  <c r="BP41" i="4"/>
  <c r="BH41" i="4"/>
  <c r="AZ41" i="4"/>
  <c r="AR41" i="4"/>
  <c r="AJ41" i="4"/>
  <c r="T41" i="4"/>
  <c r="D41" i="4"/>
  <c r="CE41" i="4"/>
  <c r="BW41" i="4"/>
  <c r="BO41" i="4"/>
  <c r="BG41" i="4"/>
  <c r="AY41" i="4"/>
  <c r="AQ41" i="4"/>
  <c r="AI41" i="4"/>
  <c r="AA41" i="4"/>
  <c r="S41" i="4"/>
  <c r="K41" i="4"/>
  <c r="C41" i="4"/>
  <c r="G41" i="4"/>
  <c r="CD41" i="4"/>
  <c r="BV41" i="4"/>
  <c r="BN41" i="4"/>
  <c r="BF41" i="4"/>
  <c r="AX41" i="4"/>
  <c r="AP41" i="4"/>
  <c r="AH41" i="4"/>
  <c r="Z41" i="4"/>
  <c r="R41" i="4"/>
  <c r="J41" i="4"/>
  <c r="B41" i="4"/>
  <c r="I41" i="4"/>
  <c r="AF41" i="4"/>
  <c r="H41" i="4"/>
  <c r="CC41" i="4"/>
  <c r="BU41" i="4"/>
  <c r="BM41" i="4"/>
  <c r="BE41" i="4"/>
  <c r="AW41" i="4"/>
  <c r="AO41" i="4"/>
  <c r="AG41" i="4"/>
  <c r="Y41" i="4"/>
  <c r="Q41" i="4"/>
  <c r="X41" i="4"/>
  <c r="CJ41" i="4"/>
  <c r="CB41" i="4"/>
  <c r="BT41" i="4"/>
  <c r="BL41" i="4"/>
  <c r="BD41" i="4"/>
  <c r="AV41" i="4"/>
  <c r="AN41" i="4"/>
  <c r="P41" i="4"/>
  <c r="CI41" i="4"/>
  <c r="CA41" i="4"/>
  <c r="BS41" i="4"/>
  <c r="BK41" i="4"/>
  <c r="BC41" i="4"/>
  <c r="AU41" i="4"/>
  <c r="AM41" i="4"/>
  <c r="AE41" i="4"/>
  <c r="W41" i="4"/>
  <c r="O41" i="4"/>
  <c r="AA34" i="4"/>
  <c r="AE34" i="4"/>
  <c r="AI34" i="4"/>
  <c r="AB34" i="4"/>
  <c r="AG34" i="4"/>
  <c r="AL34" i="4"/>
  <c r="AP34" i="4"/>
  <c r="AT34" i="4"/>
  <c r="AX34" i="4"/>
  <c r="BB34" i="4"/>
  <c r="BF34" i="4"/>
  <c r="BJ34" i="4"/>
  <c r="BN34" i="4"/>
  <c r="BR34" i="4"/>
  <c r="BV34" i="4"/>
  <c r="BZ34" i="4"/>
  <c r="CD34" i="4"/>
  <c r="CH34" i="4"/>
  <c r="X34" i="4"/>
  <c r="AC34" i="4"/>
  <c r="AH34" i="4"/>
  <c r="AM34" i="4"/>
  <c r="AQ34" i="4"/>
  <c r="AU34" i="4"/>
  <c r="Y34" i="4"/>
  <c r="AD34" i="4"/>
  <c r="AJ34" i="4"/>
  <c r="AN34" i="4"/>
  <c r="AR34" i="4"/>
  <c r="AV34" i="4"/>
  <c r="AZ34" i="4"/>
  <c r="BD34" i="4"/>
  <c r="BH34" i="4"/>
  <c r="BL34" i="4"/>
  <c r="BP34" i="4"/>
  <c r="BT34" i="4"/>
  <c r="BX34" i="4"/>
  <c r="CB34" i="4"/>
  <c r="CF34" i="4"/>
  <c r="CJ34" i="4"/>
  <c r="AO34" i="4"/>
  <c r="BA34" i="4"/>
  <c r="BI34" i="4"/>
  <c r="BQ34" i="4"/>
  <c r="BY34" i="4"/>
  <c r="CG34" i="4"/>
  <c r="Z34" i="4"/>
  <c r="AS34" i="4"/>
  <c r="BC34" i="4"/>
  <c r="BK34" i="4"/>
  <c r="BS34" i="4"/>
  <c r="CA34" i="4"/>
  <c r="CI34" i="4"/>
  <c r="AF34" i="4"/>
  <c r="AW34" i="4"/>
  <c r="BE34" i="4"/>
  <c r="BM34" i="4"/>
  <c r="BU34" i="4"/>
  <c r="CC34" i="4"/>
  <c r="AY34" i="4"/>
  <c r="CE34" i="4"/>
  <c r="BG34" i="4"/>
  <c r="BO34" i="4"/>
  <c r="V34" i="4"/>
  <c r="BW34" i="4"/>
  <c r="W34" i="4"/>
  <c r="AK34" i="4"/>
  <c r="AA38" i="4"/>
  <c r="AE38" i="4"/>
  <c r="AI38" i="4"/>
  <c r="AM38" i="4"/>
  <c r="AQ38" i="4"/>
  <c r="AU38" i="4"/>
  <c r="AY38" i="4"/>
  <c r="BC38" i="4"/>
  <c r="BG38" i="4"/>
  <c r="BK38" i="4"/>
  <c r="BO38" i="4"/>
  <c r="BS38" i="4"/>
  <c r="BW38" i="4"/>
  <c r="CA38" i="4"/>
  <c r="CE38" i="4"/>
  <c r="CI38" i="4"/>
  <c r="X38" i="4"/>
  <c r="AB38" i="4"/>
  <c r="AF38" i="4"/>
  <c r="AJ38" i="4"/>
  <c r="AN38" i="4"/>
  <c r="AR38" i="4"/>
  <c r="AV38" i="4"/>
  <c r="AZ38" i="4"/>
  <c r="BD38" i="4"/>
  <c r="BH38" i="4"/>
  <c r="BL38" i="4"/>
  <c r="Y38" i="4"/>
  <c r="AC38" i="4"/>
  <c r="AG38" i="4"/>
  <c r="AK38" i="4"/>
  <c r="AO38" i="4"/>
  <c r="AS38" i="4"/>
  <c r="AW38" i="4"/>
  <c r="BA38" i="4"/>
  <c r="BE38" i="4"/>
  <c r="BI38" i="4"/>
  <c r="BM38" i="4"/>
  <c r="BQ38" i="4"/>
  <c r="BU38" i="4"/>
  <c r="BY38" i="4"/>
  <c r="CC38" i="4"/>
  <c r="CG38" i="4"/>
  <c r="Z38" i="4"/>
  <c r="AP38" i="4"/>
  <c r="BF38" i="4"/>
  <c r="BR38" i="4"/>
  <c r="BZ38" i="4"/>
  <c r="CH38" i="4"/>
  <c r="AD38" i="4"/>
  <c r="AT38" i="4"/>
  <c r="BJ38" i="4"/>
  <c r="BT38" i="4"/>
  <c r="CB38" i="4"/>
  <c r="CJ38" i="4"/>
  <c r="AH38" i="4"/>
  <c r="AX38" i="4"/>
  <c r="BN38" i="4"/>
  <c r="BV38" i="4"/>
  <c r="CD38" i="4"/>
  <c r="V38" i="4"/>
  <c r="BX38" i="4"/>
  <c r="BP38" i="4"/>
  <c r="AL38" i="4"/>
  <c r="CF38" i="4"/>
  <c r="BB38" i="4"/>
  <c r="W38" i="4"/>
  <c r="Y40" i="4"/>
  <c r="AC40" i="4"/>
  <c r="AG40" i="4"/>
  <c r="AK40" i="4"/>
  <c r="AO40" i="4"/>
  <c r="AS40" i="4"/>
  <c r="AW40" i="4"/>
  <c r="BA40" i="4"/>
  <c r="BE40" i="4"/>
  <c r="BI40" i="4"/>
  <c r="BM40" i="4"/>
  <c r="BQ40" i="4"/>
  <c r="BU40" i="4"/>
  <c r="BY40" i="4"/>
  <c r="CC40" i="4"/>
  <c r="CG40" i="4"/>
  <c r="Z40" i="4"/>
  <c r="AD40" i="4"/>
  <c r="AH40" i="4"/>
  <c r="AL40" i="4"/>
  <c r="AP40" i="4"/>
  <c r="AT40" i="4"/>
  <c r="AX40" i="4"/>
  <c r="BB40" i="4"/>
  <c r="BF40" i="4"/>
  <c r="BJ40" i="4"/>
  <c r="BN40" i="4"/>
  <c r="BR40" i="4"/>
  <c r="BV40" i="4"/>
  <c r="BZ40" i="4"/>
  <c r="CD40" i="4"/>
  <c r="CH40" i="4"/>
  <c r="AA40" i="4"/>
  <c r="AE40" i="4"/>
  <c r="AI40" i="4"/>
  <c r="AM40" i="4"/>
  <c r="AQ40" i="4"/>
  <c r="AU40" i="4"/>
  <c r="AY40" i="4"/>
  <c r="BC40" i="4"/>
  <c r="BG40" i="4"/>
  <c r="BK40" i="4"/>
  <c r="BO40" i="4"/>
  <c r="BS40" i="4"/>
  <c r="BW40" i="4"/>
  <c r="CA40" i="4"/>
  <c r="CE40" i="4"/>
  <c r="CI40" i="4"/>
  <c r="V40" i="4"/>
  <c r="X40" i="4"/>
  <c r="AN40" i="4"/>
  <c r="BD40" i="4"/>
  <c r="BT40" i="4"/>
  <c r="CJ40" i="4"/>
  <c r="W40" i="4"/>
  <c r="BH40" i="4"/>
  <c r="AJ40" i="4"/>
  <c r="CF40" i="4"/>
  <c r="AB40" i="4"/>
  <c r="AR40" i="4"/>
  <c r="BX40" i="4"/>
  <c r="BP40" i="4"/>
  <c r="AF40" i="4"/>
  <c r="AV40" i="4"/>
  <c r="BL40" i="4"/>
  <c r="CB40" i="4"/>
  <c r="AZ40" i="4"/>
  <c r="Y36" i="4"/>
  <c r="AC36" i="4"/>
  <c r="AG36" i="4"/>
  <c r="AK36" i="4"/>
  <c r="AO36" i="4"/>
  <c r="AS36" i="4"/>
  <c r="AW36" i="4"/>
  <c r="BA36" i="4"/>
  <c r="BE36" i="4"/>
  <c r="BI36" i="4"/>
  <c r="BM36" i="4"/>
  <c r="BQ36" i="4"/>
  <c r="BU36" i="4"/>
  <c r="BY36" i="4"/>
  <c r="CC36" i="4"/>
  <c r="CG36" i="4"/>
  <c r="Z36" i="4"/>
  <c r="AD36" i="4"/>
  <c r="AH36" i="4"/>
  <c r="AL36" i="4"/>
  <c r="AP36" i="4"/>
  <c r="AT36" i="4"/>
  <c r="AX36" i="4"/>
  <c r="BB36" i="4"/>
  <c r="BF36" i="4"/>
  <c r="BJ36" i="4"/>
  <c r="BN36" i="4"/>
  <c r="BR36" i="4"/>
  <c r="BV36" i="4"/>
  <c r="BZ36" i="4"/>
  <c r="CD36" i="4"/>
  <c r="CH36" i="4"/>
  <c r="AA36" i="4"/>
  <c r="AE36" i="4"/>
  <c r="AI36" i="4"/>
  <c r="AM36" i="4"/>
  <c r="AQ36" i="4"/>
  <c r="AU36" i="4"/>
  <c r="AY36" i="4"/>
  <c r="BC36" i="4"/>
  <c r="BG36" i="4"/>
  <c r="BK36" i="4"/>
  <c r="BO36" i="4"/>
  <c r="BS36" i="4"/>
  <c r="BW36" i="4"/>
  <c r="CA36" i="4"/>
  <c r="CE36" i="4"/>
  <c r="CI36" i="4"/>
  <c r="AB36" i="4"/>
  <c r="AR36" i="4"/>
  <c r="BH36" i="4"/>
  <c r="BX36" i="4"/>
  <c r="AF36" i="4"/>
  <c r="AV36" i="4"/>
  <c r="BL36" i="4"/>
  <c r="CB36" i="4"/>
  <c r="AJ36" i="4"/>
  <c r="AZ36" i="4"/>
  <c r="BP36" i="4"/>
  <c r="CF36" i="4"/>
  <c r="V36" i="4"/>
  <c r="X36" i="4"/>
  <c r="CJ36" i="4"/>
  <c r="W36" i="4"/>
  <c r="AN36" i="4"/>
  <c r="BT36" i="4"/>
  <c r="BD36" i="4"/>
  <c r="X37" i="4"/>
  <c r="AB37" i="4"/>
  <c r="AF37" i="4"/>
  <c r="AJ37" i="4"/>
  <c r="AN37" i="4"/>
  <c r="AR37" i="4"/>
  <c r="AV37" i="4"/>
  <c r="AZ37" i="4"/>
  <c r="BD37" i="4"/>
  <c r="BH37" i="4"/>
  <c r="BL37" i="4"/>
  <c r="BP37" i="4"/>
  <c r="BT37" i="4"/>
  <c r="BX37" i="4"/>
  <c r="CB37" i="4"/>
  <c r="CF37" i="4"/>
  <c r="CJ37" i="4"/>
  <c r="Y37" i="4"/>
  <c r="AC37" i="4"/>
  <c r="AG37" i="4"/>
  <c r="AK37" i="4"/>
  <c r="AO37" i="4"/>
  <c r="AS37" i="4"/>
  <c r="AW37" i="4"/>
  <c r="BA37" i="4"/>
  <c r="BE37" i="4"/>
  <c r="BI37" i="4"/>
  <c r="BM37" i="4"/>
  <c r="BQ37" i="4"/>
  <c r="BU37" i="4"/>
  <c r="BY37" i="4"/>
  <c r="CC37" i="4"/>
  <c r="CG37" i="4"/>
  <c r="Z37" i="4"/>
  <c r="AD37" i="4"/>
  <c r="AH37" i="4"/>
  <c r="AL37" i="4"/>
  <c r="AP37" i="4"/>
  <c r="AT37" i="4"/>
  <c r="AX37" i="4"/>
  <c r="BB37" i="4"/>
  <c r="BF37" i="4"/>
  <c r="BJ37" i="4"/>
  <c r="BN37" i="4"/>
  <c r="BR37" i="4"/>
  <c r="BV37" i="4"/>
  <c r="BZ37" i="4"/>
  <c r="CD37" i="4"/>
  <c r="CH37" i="4"/>
  <c r="AA37" i="4"/>
  <c r="AQ37" i="4"/>
  <c r="BG37" i="4"/>
  <c r="BW37" i="4"/>
  <c r="V37" i="4"/>
  <c r="AE37" i="4"/>
  <c r="AU37" i="4"/>
  <c r="BK37" i="4"/>
  <c r="CA37" i="4"/>
  <c r="AI37" i="4"/>
  <c r="AY37" i="4"/>
  <c r="BO37" i="4"/>
  <c r="CE37" i="4"/>
  <c r="CI37" i="4"/>
  <c r="W37" i="4"/>
  <c r="AM37" i="4"/>
  <c r="BC37" i="4"/>
  <c r="BS37" i="4"/>
  <c r="E37" i="4"/>
  <c r="I37" i="4"/>
  <c r="M37" i="4"/>
  <c r="Q37" i="4"/>
  <c r="U37" i="4"/>
  <c r="B37" i="4"/>
  <c r="G37" i="4"/>
  <c r="O37" i="4"/>
  <c r="F37" i="4"/>
  <c r="J37" i="4"/>
  <c r="N37" i="4"/>
  <c r="R37" i="4"/>
  <c r="C37" i="4"/>
  <c r="K37" i="4"/>
  <c r="S37" i="4"/>
  <c r="H37" i="4"/>
  <c r="L37" i="4"/>
  <c r="P37" i="4"/>
  <c r="D37" i="4"/>
  <c r="T37" i="4"/>
  <c r="D34" i="4"/>
  <c r="H34" i="4"/>
  <c r="L34" i="4"/>
  <c r="P34" i="4"/>
  <c r="T34" i="4"/>
  <c r="C34" i="4"/>
  <c r="K34" i="4"/>
  <c r="S34" i="4"/>
  <c r="E34" i="4"/>
  <c r="I34" i="4"/>
  <c r="M34" i="4"/>
  <c r="Q34" i="4"/>
  <c r="U34" i="4"/>
  <c r="B34" i="4"/>
  <c r="G34" i="4"/>
  <c r="O34" i="4"/>
  <c r="F34" i="4"/>
  <c r="J34" i="4"/>
  <c r="N34" i="4"/>
  <c r="R34" i="4"/>
  <c r="D38" i="4"/>
  <c r="H38" i="4"/>
  <c r="L38" i="4"/>
  <c r="P38" i="4"/>
  <c r="T38" i="4"/>
  <c r="J38" i="4"/>
  <c r="R38" i="4"/>
  <c r="E38" i="4"/>
  <c r="I38" i="4"/>
  <c r="M38" i="4"/>
  <c r="Q38" i="4"/>
  <c r="U38" i="4"/>
  <c r="B38" i="4"/>
  <c r="F38" i="4"/>
  <c r="N38" i="4"/>
  <c r="C38" i="4"/>
  <c r="S38" i="4"/>
  <c r="G38" i="4"/>
  <c r="K38" i="4"/>
  <c r="O38" i="4"/>
  <c r="F40" i="4"/>
  <c r="J40" i="4"/>
  <c r="N40" i="4"/>
  <c r="R40" i="4"/>
  <c r="H40" i="4"/>
  <c r="P40" i="4"/>
  <c r="C40" i="4"/>
  <c r="G40" i="4"/>
  <c r="K40" i="4"/>
  <c r="O40" i="4"/>
  <c r="S40" i="4"/>
  <c r="D40" i="4"/>
  <c r="L40" i="4"/>
  <c r="T40" i="4"/>
  <c r="I40" i="4"/>
  <c r="B40" i="4"/>
  <c r="Q40" i="4"/>
  <c r="U40" i="4"/>
  <c r="M40" i="4"/>
  <c r="E40" i="4"/>
  <c r="F36" i="4"/>
  <c r="J36" i="4"/>
  <c r="N36" i="4"/>
  <c r="R36" i="4"/>
  <c r="D36" i="4"/>
  <c r="L36" i="4"/>
  <c r="T36" i="4"/>
  <c r="C36" i="4"/>
  <c r="G36" i="4"/>
  <c r="K36" i="4"/>
  <c r="O36" i="4"/>
  <c r="S36" i="4"/>
  <c r="H36" i="4"/>
  <c r="P36" i="4"/>
  <c r="M36" i="4"/>
  <c r="Q36" i="4"/>
  <c r="E36" i="4"/>
  <c r="U36" i="4"/>
  <c r="I36" i="4"/>
  <c r="B36" i="4"/>
  <c r="G16" i="4"/>
  <c r="G12" i="4"/>
  <c r="G10" i="4"/>
  <c r="G9" i="4"/>
  <c r="G8" i="4"/>
  <c r="G7" i="4"/>
  <c r="E23" i="2"/>
  <c r="D23" i="2"/>
  <c r="Y35" i="4" l="1"/>
  <c r="AC35" i="4"/>
  <c r="AG35" i="4"/>
  <c r="AK35" i="4"/>
  <c r="AO35" i="4"/>
  <c r="AS35" i="4"/>
  <c r="AW35" i="4"/>
  <c r="BA35" i="4"/>
  <c r="AA35" i="4"/>
  <c r="AF35" i="4"/>
  <c r="AL35" i="4"/>
  <c r="AQ35" i="4"/>
  <c r="AV35" i="4"/>
  <c r="BB35" i="4"/>
  <c r="BF35" i="4"/>
  <c r="BJ35" i="4"/>
  <c r="BN35" i="4"/>
  <c r="BR35" i="4"/>
  <c r="BV35" i="4"/>
  <c r="BZ35" i="4"/>
  <c r="CD35" i="4"/>
  <c r="CH35" i="4"/>
  <c r="AB35" i="4"/>
  <c r="AH35" i="4"/>
  <c r="AM35" i="4"/>
  <c r="AR35" i="4"/>
  <c r="AX35" i="4"/>
  <c r="BC35" i="4"/>
  <c r="BG35" i="4"/>
  <c r="BK35" i="4"/>
  <c r="BO35" i="4"/>
  <c r="BS35" i="4"/>
  <c r="BW35" i="4"/>
  <c r="CA35" i="4"/>
  <c r="CE35" i="4"/>
  <c r="CI35" i="4"/>
  <c r="X35" i="4"/>
  <c r="AD35" i="4"/>
  <c r="AI35" i="4"/>
  <c r="AN35" i="4"/>
  <c r="AT35" i="4"/>
  <c r="AY35" i="4"/>
  <c r="BD35" i="4"/>
  <c r="BH35" i="4"/>
  <c r="BL35" i="4"/>
  <c r="BP35" i="4"/>
  <c r="BT35" i="4"/>
  <c r="BX35" i="4"/>
  <c r="CB35" i="4"/>
  <c r="CF35" i="4"/>
  <c r="CJ35" i="4"/>
  <c r="AP35" i="4"/>
  <c r="BI35" i="4"/>
  <c r="BY35" i="4"/>
  <c r="V35" i="4"/>
  <c r="Z35" i="4"/>
  <c r="AU35" i="4"/>
  <c r="BM35" i="4"/>
  <c r="CC35" i="4"/>
  <c r="AE35" i="4"/>
  <c r="AZ35" i="4"/>
  <c r="BQ35" i="4"/>
  <c r="CG35" i="4"/>
  <c r="BU35" i="4"/>
  <c r="W35" i="4"/>
  <c r="AJ35" i="4"/>
  <c r="BE35" i="4"/>
  <c r="X33" i="4"/>
  <c r="AB33" i="4"/>
  <c r="AF33" i="4"/>
  <c r="AJ33" i="4"/>
  <c r="AN33" i="4"/>
  <c r="AR33" i="4"/>
  <c r="AV33" i="4"/>
  <c r="AZ33" i="4"/>
  <c r="BD33" i="4"/>
  <c r="BH33" i="4"/>
  <c r="BL33" i="4"/>
  <c r="BP33" i="4"/>
  <c r="BT33" i="4"/>
  <c r="BX33" i="4"/>
  <c r="CB33" i="4"/>
  <c r="CF33" i="4"/>
  <c r="CJ33" i="4"/>
  <c r="AC33" i="4"/>
  <c r="AH33" i="4"/>
  <c r="AM33" i="4"/>
  <c r="AS33" i="4"/>
  <c r="AX33" i="4"/>
  <c r="BC33" i="4"/>
  <c r="BI33" i="4"/>
  <c r="BN33" i="4"/>
  <c r="BS33" i="4"/>
  <c r="BY33" i="4"/>
  <c r="CD33" i="4"/>
  <c r="CI33" i="4"/>
  <c r="Y33" i="4"/>
  <c r="AD33" i="4"/>
  <c r="AI33" i="4"/>
  <c r="AO33" i="4"/>
  <c r="AT33" i="4"/>
  <c r="AY33" i="4"/>
  <c r="BE33" i="4"/>
  <c r="BJ33" i="4"/>
  <c r="BO33" i="4"/>
  <c r="BU33" i="4"/>
  <c r="BZ33" i="4"/>
  <c r="CE33" i="4"/>
  <c r="Z33" i="4"/>
  <c r="AE33" i="4"/>
  <c r="AK33" i="4"/>
  <c r="AP33" i="4"/>
  <c r="AU33" i="4"/>
  <c r="BA33" i="4"/>
  <c r="BF33" i="4"/>
  <c r="BK33" i="4"/>
  <c r="BQ33" i="4"/>
  <c r="BV33" i="4"/>
  <c r="CA33" i="4"/>
  <c r="CG33" i="4"/>
  <c r="AQ33" i="4"/>
  <c r="BM33" i="4"/>
  <c r="CH33" i="4"/>
  <c r="AA33" i="4"/>
  <c r="AW33" i="4"/>
  <c r="BR33" i="4"/>
  <c r="AG33" i="4"/>
  <c r="BB33" i="4"/>
  <c r="BW33" i="4"/>
  <c r="AL33" i="4"/>
  <c r="V33" i="4"/>
  <c r="BG33" i="4"/>
  <c r="CC33" i="4"/>
  <c r="W33" i="4"/>
  <c r="B30" i="4"/>
  <c r="BT30" i="4"/>
  <c r="Z30" i="4"/>
  <c r="AD30" i="4"/>
  <c r="AH30" i="4"/>
  <c r="AL30" i="4"/>
  <c r="AP30" i="4"/>
  <c r="AT30" i="4"/>
  <c r="AX30" i="4"/>
  <c r="BB30" i="4"/>
  <c r="BF30" i="4"/>
  <c r="BJ30" i="4"/>
  <c r="BN30" i="4"/>
  <c r="BR30" i="4"/>
  <c r="BW30" i="4"/>
  <c r="CA30" i="4"/>
  <c r="CE30" i="4"/>
  <c r="CI30" i="4"/>
  <c r="Y30" i="4"/>
  <c r="AE30" i="4"/>
  <c r="AJ30" i="4"/>
  <c r="AO30" i="4"/>
  <c r="AU30" i="4"/>
  <c r="AZ30" i="4"/>
  <c r="BE30" i="4"/>
  <c r="BK30" i="4"/>
  <c r="BP30" i="4"/>
  <c r="BV30" i="4"/>
  <c r="CB30" i="4"/>
  <c r="CG30" i="4"/>
  <c r="K30" i="4"/>
  <c r="AA30" i="4"/>
  <c r="AF30" i="4"/>
  <c r="AK30" i="4"/>
  <c r="AQ30" i="4"/>
  <c r="AV30" i="4"/>
  <c r="BA30" i="4"/>
  <c r="BG30" i="4"/>
  <c r="BL30" i="4"/>
  <c r="BQ30" i="4"/>
  <c r="BX30" i="4"/>
  <c r="CC30" i="4"/>
  <c r="CH30" i="4"/>
  <c r="AB30" i="4"/>
  <c r="AG30" i="4"/>
  <c r="AM30" i="4"/>
  <c r="AR30" i="4"/>
  <c r="AW30" i="4"/>
  <c r="BC30" i="4"/>
  <c r="BH30" i="4"/>
  <c r="BM30" i="4"/>
  <c r="BS30" i="4"/>
  <c r="BY30" i="4"/>
  <c r="CD30" i="4"/>
  <c r="CJ30" i="4"/>
  <c r="X30" i="4"/>
  <c r="AS30" i="4"/>
  <c r="BO30" i="4"/>
  <c r="AC30" i="4"/>
  <c r="AY30" i="4"/>
  <c r="BU30" i="4"/>
  <c r="AI30" i="4"/>
  <c r="BD30" i="4"/>
  <c r="BZ30" i="4"/>
  <c r="BI30" i="4"/>
  <c r="CF30" i="4"/>
  <c r="V30" i="4"/>
  <c r="AN30" i="4"/>
  <c r="W30" i="4"/>
  <c r="Z39" i="4"/>
  <c r="AD39" i="4"/>
  <c r="AH39" i="4"/>
  <c r="AL39" i="4"/>
  <c r="AP39" i="4"/>
  <c r="AT39" i="4"/>
  <c r="AX39" i="4"/>
  <c r="X39" i="4"/>
  <c r="AB39" i="4"/>
  <c r="AG39" i="4"/>
  <c r="AM39" i="4"/>
  <c r="AR39" i="4"/>
  <c r="AW39" i="4"/>
  <c r="BB39" i="4"/>
  <c r="BF39" i="4"/>
  <c r="BJ39" i="4"/>
  <c r="BN39" i="4"/>
  <c r="BR39" i="4"/>
  <c r="BV39" i="4"/>
  <c r="BZ39" i="4"/>
  <c r="CD39" i="4"/>
  <c r="CH39" i="4"/>
  <c r="V39" i="4"/>
  <c r="AC39" i="4"/>
  <c r="AI39" i="4"/>
  <c r="AN39" i="4"/>
  <c r="AS39" i="4"/>
  <c r="AY39" i="4"/>
  <c r="BC39" i="4"/>
  <c r="BG39" i="4"/>
  <c r="BK39" i="4"/>
  <c r="BO39" i="4"/>
  <c r="BS39" i="4"/>
  <c r="BW39" i="4"/>
  <c r="CA39" i="4"/>
  <c r="CE39" i="4"/>
  <c r="CI39" i="4"/>
  <c r="Y39" i="4"/>
  <c r="AE39" i="4"/>
  <c r="AJ39" i="4"/>
  <c r="AO39" i="4"/>
  <c r="AU39" i="4"/>
  <c r="AZ39" i="4"/>
  <c r="BD39" i="4"/>
  <c r="BH39" i="4"/>
  <c r="BL39" i="4"/>
  <c r="BP39" i="4"/>
  <c r="BT39" i="4"/>
  <c r="BX39" i="4"/>
  <c r="CB39" i="4"/>
  <c r="CF39" i="4"/>
  <c r="CJ39" i="4"/>
  <c r="AK39" i="4"/>
  <c r="BE39" i="4"/>
  <c r="BU39" i="4"/>
  <c r="BA39" i="4"/>
  <c r="AQ39" i="4"/>
  <c r="BI39" i="4"/>
  <c r="BY39" i="4"/>
  <c r="CG39" i="4"/>
  <c r="W39" i="4"/>
  <c r="AA39" i="4"/>
  <c r="AV39" i="4"/>
  <c r="BM39" i="4"/>
  <c r="CC39" i="4"/>
  <c r="AF39" i="4"/>
  <c r="BQ39" i="4"/>
  <c r="Z31" i="4"/>
  <c r="AD31" i="4"/>
  <c r="AH31" i="4"/>
  <c r="AL31" i="4"/>
  <c r="AP31" i="4"/>
  <c r="AT31" i="4"/>
  <c r="AX31" i="4"/>
  <c r="BB31" i="4"/>
  <c r="BF31" i="4"/>
  <c r="BJ31" i="4"/>
  <c r="BN31" i="4"/>
  <c r="BR31" i="4"/>
  <c r="BV31" i="4"/>
  <c r="BZ31" i="4"/>
  <c r="CD31" i="4"/>
  <c r="CH31" i="4"/>
  <c r="Y31" i="4"/>
  <c r="AE31" i="4"/>
  <c r="AJ31" i="4"/>
  <c r="AO31" i="4"/>
  <c r="AU31" i="4"/>
  <c r="AZ31" i="4"/>
  <c r="BE31" i="4"/>
  <c r="BK31" i="4"/>
  <c r="BP31" i="4"/>
  <c r="BU31" i="4"/>
  <c r="CA31" i="4"/>
  <c r="CF31" i="4"/>
  <c r="AA31" i="4"/>
  <c r="AF31" i="4"/>
  <c r="AK31" i="4"/>
  <c r="AQ31" i="4"/>
  <c r="AV31" i="4"/>
  <c r="BA31" i="4"/>
  <c r="BG31" i="4"/>
  <c r="BL31" i="4"/>
  <c r="BQ31" i="4"/>
  <c r="BW31" i="4"/>
  <c r="CB31" i="4"/>
  <c r="CG31" i="4"/>
  <c r="AB31" i="4"/>
  <c r="AG31" i="4"/>
  <c r="AM31" i="4"/>
  <c r="AR31" i="4"/>
  <c r="AW31" i="4"/>
  <c r="BC31" i="4"/>
  <c r="BH31" i="4"/>
  <c r="BM31" i="4"/>
  <c r="BS31" i="4"/>
  <c r="BX31" i="4"/>
  <c r="CC31" i="4"/>
  <c r="CI31" i="4"/>
  <c r="X31" i="4"/>
  <c r="AS31" i="4"/>
  <c r="BO31" i="4"/>
  <c r="CJ31" i="4"/>
  <c r="AC31" i="4"/>
  <c r="AY31" i="4"/>
  <c r="BT31" i="4"/>
  <c r="AI31" i="4"/>
  <c r="BD31" i="4"/>
  <c r="BY31" i="4"/>
  <c r="CE31" i="4"/>
  <c r="V31" i="4"/>
  <c r="AN31" i="4"/>
  <c r="BI31" i="4"/>
  <c r="W31" i="4"/>
  <c r="Y32" i="4"/>
  <c r="AC32" i="4"/>
  <c r="AG32" i="4"/>
  <c r="AK32" i="4"/>
  <c r="AO32" i="4"/>
  <c r="AS32" i="4"/>
  <c r="AW32" i="4"/>
  <c r="BA32" i="4"/>
  <c r="BE32" i="4"/>
  <c r="BI32" i="4"/>
  <c r="BM32" i="4"/>
  <c r="BQ32" i="4"/>
  <c r="BU32" i="4"/>
  <c r="BY32" i="4"/>
  <c r="CC32" i="4"/>
  <c r="CG32" i="4"/>
  <c r="X32" i="4"/>
  <c r="AD32" i="4"/>
  <c r="AI32" i="4"/>
  <c r="AN32" i="4"/>
  <c r="AT32" i="4"/>
  <c r="AY32" i="4"/>
  <c r="BD32" i="4"/>
  <c r="BJ32" i="4"/>
  <c r="BO32" i="4"/>
  <c r="BT32" i="4"/>
  <c r="BZ32" i="4"/>
  <c r="CE32" i="4"/>
  <c r="CJ32" i="4"/>
  <c r="Z32" i="4"/>
  <c r="AE32" i="4"/>
  <c r="AJ32" i="4"/>
  <c r="AP32" i="4"/>
  <c r="AU32" i="4"/>
  <c r="AZ32" i="4"/>
  <c r="BF32" i="4"/>
  <c r="BK32" i="4"/>
  <c r="BP32" i="4"/>
  <c r="BV32" i="4"/>
  <c r="CA32" i="4"/>
  <c r="CF32" i="4"/>
  <c r="AA32" i="4"/>
  <c r="AF32" i="4"/>
  <c r="AL32" i="4"/>
  <c r="AQ32" i="4"/>
  <c r="AV32" i="4"/>
  <c r="BB32" i="4"/>
  <c r="BG32" i="4"/>
  <c r="BL32" i="4"/>
  <c r="BR32" i="4"/>
  <c r="BW32" i="4"/>
  <c r="CB32" i="4"/>
  <c r="CH32" i="4"/>
  <c r="AR32" i="4"/>
  <c r="BN32" i="4"/>
  <c r="CI32" i="4"/>
  <c r="AB32" i="4"/>
  <c r="AX32" i="4"/>
  <c r="BS32" i="4"/>
  <c r="AH32" i="4"/>
  <c r="BC32" i="4"/>
  <c r="BX32" i="4"/>
  <c r="AM32" i="4"/>
  <c r="BH32" i="4"/>
  <c r="V32" i="4"/>
  <c r="W32" i="4"/>
  <c r="CD32" i="4"/>
  <c r="C39" i="4"/>
  <c r="G39" i="4"/>
  <c r="K39" i="4"/>
  <c r="O39" i="4"/>
  <c r="S39" i="4"/>
  <c r="E39" i="4"/>
  <c r="M39" i="4"/>
  <c r="U39" i="4"/>
  <c r="B39" i="4"/>
  <c r="D39" i="4"/>
  <c r="H39" i="4"/>
  <c r="L39" i="4"/>
  <c r="P39" i="4"/>
  <c r="T39" i="4"/>
  <c r="I39" i="4"/>
  <c r="Q39" i="4"/>
  <c r="N39" i="4"/>
  <c r="R39" i="4"/>
  <c r="J39" i="4"/>
  <c r="F39" i="4"/>
  <c r="C35" i="4"/>
  <c r="G35" i="4"/>
  <c r="K35" i="4"/>
  <c r="O35" i="4"/>
  <c r="S35" i="4"/>
  <c r="E35" i="4"/>
  <c r="Q35" i="4"/>
  <c r="F35" i="4"/>
  <c r="N35" i="4"/>
  <c r="D35" i="4"/>
  <c r="H35" i="4"/>
  <c r="L35" i="4"/>
  <c r="P35" i="4"/>
  <c r="T35" i="4"/>
  <c r="I35" i="4"/>
  <c r="M35" i="4"/>
  <c r="U35" i="4"/>
  <c r="B35" i="4"/>
  <c r="J35" i="4"/>
  <c r="R35" i="4"/>
  <c r="E33" i="4"/>
  <c r="I33" i="4"/>
  <c r="M33" i="4"/>
  <c r="Q33" i="4"/>
  <c r="U33" i="4"/>
  <c r="B33" i="4"/>
  <c r="D33" i="4"/>
  <c r="P33" i="4"/>
  <c r="F33" i="4"/>
  <c r="J33" i="4"/>
  <c r="N33" i="4"/>
  <c r="R33" i="4"/>
  <c r="H33" i="4"/>
  <c r="L33" i="4"/>
  <c r="T33" i="4"/>
  <c r="C33" i="4"/>
  <c r="G33" i="4"/>
  <c r="K33" i="4"/>
  <c r="O33" i="4"/>
  <c r="S33" i="4"/>
  <c r="E32" i="4"/>
  <c r="I32" i="4"/>
  <c r="M32" i="4"/>
  <c r="Q32" i="4"/>
  <c r="U32" i="4"/>
  <c r="J32" i="4"/>
  <c r="N32" i="4"/>
  <c r="F32" i="4"/>
  <c r="R32" i="4"/>
  <c r="C32" i="4"/>
  <c r="G32" i="4"/>
  <c r="K32" i="4"/>
  <c r="O32" i="4"/>
  <c r="S32" i="4"/>
  <c r="D32" i="4"/>
  <c r="H32" i="4"/>
  <c r="L32" i="4"/>
  <c r="P32" i="4"/>
  <c r="T32" i="4"/>
  <c r="B32" i="4"/>
  <c r="D31" i="4"/>
  <c r="H31" i="4"/>
  <c r="L31" i="4"/>
  <c r="P31" i="4"/>
  <c r="T31" i="4"/>
  <c r="E31" i="4"/>
  <c r="I31" i="4"/>
  <c r="M31" i="4"/>
  <c r="Q31" i="4"/>
  <c r="U31" i="4"/>
  <c r="F31" i="4"/>
  <c r="J31" i="4"/>
  <c r="N31" i="4"/>
  <c r="R31" i="4"/>
  <c r="C31" i="4"/>
  <c r="G31" i="4"/>
  <c r="K31" i="4"/>
  <c r="O31" i="4"/>
  <c r="S31" i="4"/>
  <c r="B31" i="4"/>
  <c r="E30" i="4"/>
  <c r="I30" i="4"/>
  <c r="M30" i="4"/>
  <c r="Q30" i="4"/>
  <c r="U30" i="4"/>
  <c r="J30" i="4"/>
  <c r="N30" i="4"/>
  <c r="R30" i="4"/>
  <c r="F30" i="4"/>
  <c r="C30" i="4"/>
  <c r="G30" i="4"/>
  <c r="O30" i="4"/>
  <c r="S30" i="4"/>
  <c r="D30" i="4"/>
  <c r="H30" i="4"/>
  <c r="L30" i="4"/>
  <c r="P30" i="4"/>
  <c r="T30" i="4"/>
</calcChain>
</file>

<file path=xl/sharedStrings.xml><?xml version="1.0" encoding="utf-8"?>
<sst xmlns="http://schemas.openxmlformats.org/spreadsheetml/2006/main" count="1280" uniqueCount="38">
  <si>
    <t>Rangering</t>
  </si>
  <si>
    <t>Etternavn</t>
  </si>
  <si>
    <t>Fornavn</t>
  </si>
  <si>
    <t>Personstemme</t>
  </si>
  <si>
    <t>Slenger</t>
  </si>
  <si>
    <t>Totalt</t>
  </si>
  <si>
    <t>Liste #</t>
  </si>
  <si>
    <t>…</t>
  </si>
  <si>
    <t>Antall kommunestyrerepresentanter</t>
  </si>
  <si>
    <t>St. Lägue</t>
  </si>
  <si>
    <t>Listestemmer</t>
  </si>
  <si>
    <t>Før retting</t>
  </si>
  <si>
    <t>Tilgang</t>
  </si>
  <si>
    <t>Avgang</t>
  </si>
  <si>
    <t>Parti</t>
  </si>
  <si>
    <t>x</t>
  </si>
  <si>
    <t>Antall stemmer</t>
  </si>
  <si>
    <t>Stemmesedler</t>
  </si>
  <si>
    <t>Mandater</t>
  </si>
  <si>
    <t>Antall</t>
  </si>
  <si>
    <t>Område</t>
  </si>
  <si>
    <t>Startlinje</t>
  </si>
  <si>
    <t>A29:CJ42</t>
  </si>
  <si>
    <t>Stemmetillegg</t>
  </si>
  <si>
    <t>Antall stemmer til partiet</t>
  </si>
  <si>
    <t/>
  </si>
  <si>
    <r>
      <rPr>
        <b/>
        <sz val="11"/>
        <color rgb="FFFF0000"/>
        <rFont val="Calibri"/>
        <family val="2"/>
        <scheme val="minor"/>
      </rPr>
      <t>Veiledning</t>
    </r>
    <r>
      <rPr>
        <sz val="11"/>
        <color theme="1"/>
        <rFont val="Calibri"/>
        <family val="2"/>
        <scheme val="minor"/>
      </rPr>
      <t>: Skrive inn hvor mange stemmesedler partiet har fått for å finne ut hvor mye stemmetillegg forhåndskumulerte kandidater skal ha. Skriv inn tallet for stemmetillegg i kolonnen som heter "Stemmetillegg".
Totalt vil fortele hvor mange personstemmer hver enkelt kandidat har fått og således vise hvordan eventuelt ny rangering av kandidater vil bli for en liste</t>
    </r>
  </si>
  <si>
    <t>Kjør valgoppgjør: Ctrl-K</t>
  </si>
  <si>
    <t>Sum</t>
  </si>
  <si>
    <r>
      <rPr>
        <b/>
        <sz val="11"/>
        <color rgb="FFFF0000"/>
        <rFont val="Calibri"/>
        <family val="2"/>
        <scheme val="minor"/>
      </rPr>
      <t>Veileder:</t>
    </r>
    <r>
      <rPr>
        <sz val="11"/>
        <color theme="1"/>
        <rFont val="Calibri"/>
        <family val="2"/>
        <scheme val="minor"/>
      </rPr>
      <t xml:space="preserve"> Fyll ut feltene som er markert i grått. Tallene som skal fylle sut henter du fra EVA under menyvalget "Mandatfordeling". 
Mer informasjon om mandatfordelingen i EVA finner du i brukerveiledningen her: 
https://valgmedarbeiderportalen.valg.no/eva/valgoppgjor/valgoppgjor#mandatfordeling-kommunestyrevalg</t>
    </r>
  </si>
  <si>
    <t>Rødt</t>
  </si>
  <si>
    <t>Kristelig Folkeparti</t>
  </si>
  <si>
    <t>SV - Sosialistisk Venstreparti</t>
  </si>
  <si>
    <t>Arbeiderpartiet</t>
  </si>
  <si>
    <t>Venstre</t>
  </si>
  <si>
    <t>Høyre</t>
  </si>
  <si>
    <t>Industri- og Næringspartiet</t>
  </si>
  <si>
    <t>Senterpartiet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</si>
</sst>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8">
    <xf numFmtId="0" fontId="0" fillId="0" borderId="0" xfId="0"/>
    <xf numFmtId="0" fontId="0" fillId="3" borderId="0" xfId="0" applyFill="1"/>
    <xf numFmtId="0" fontId="1" fillId="0" borderId="0" xfId="0" applyFont="1"/>
    <xf numFmtId="0" fontId="0" fillId="2" borderId="1" xfId="0" applyFill="1" applyBorder="1"/>
    <xf numFmtId="0" fontId="1" fillId="3" borderId="0" xfId="0" applyFont="1" applyFill="1"/>
    <xf numFmtId="0" fontId="0" fillId="3" borderId="1" xfId="0" applyFill="1" applyBorder="1"/>
    <xf numFmtId="4" fontId="0" fillId="3" borderId="0" xfId="0" applyNumberFormat="1" applyFill="1"/>
    <xf numFmtId="0" fontId="0" fillId="3" borderId="0" xfId="0" applyFill="1" applyAlignment="1">
      <alignment horizontal="left"/>
    </xf>
    <xf numFmtId="0" fontId="1" fillId="3" borderId="0" xfId="0" applyFont="1" applyFill="1" applyAlignment="1">
      <alignment horizontal="left"/>
    </xf>
    <xf numFmtId="0" fontId="0" fillId="3" borderId="1" xfId="0" applyFill="1" applyBorder="1" applyAlignment="1">
      <alignment horizontal="left"/>
    </xf>
    <xf numFmtId="4" fontId="0" fillId="3" borderId="0" xfId="0" applyNumberFormat="1" applyFill="1" applyAlignment="1">
      <alignment horizontal="left"/>
    </xf>
    <xf numFmtId="0" fontId="2" fillId="3" borderId="0" xfId="1" applyFill="1" applyBorder="1" applyAlignment="1">
      <alignment vertical="top"/>
    </xf>
    <xf numFmtId="0" fontId="0" fillId="3" borderId="0" xfId="0" applyFill="1" applyAlignment="1">
      <alignment vertical="top"/>
    </xf>
    <xf numFmtId="0" fontId="1" fillId="3" borderId="2" xfId="0" applyFont="1" applyFill="1" applyBorder="1" applyAlignment="1">
      <alignment horizontal="left"/>
    </xf>
    <xf numFmtId="4" fontId="0" fillId="3" borderId="3" xfId="0" applyNumberFormat="1" applyFill="1" applyBorder="1" applyAlignment="1">
      <alignment horizontal="right"/>
    </xf>
    <xf numFmtId="0" fontId="4" fillId="3" borderId="0" xfId="0" applyFont="1" applyFill="1" applyAlignment="1">
      <alignment horizontal="left"/>
    </xf>
    <xf numFmtId="164" fontId="0" fillId="3" borderId="0" xfId="0" applyNumberFormat="1" applyFill="1"/>
    <xf numFmtId="0" fontId="0" fillId="2" borderId="0" xfId="0" applyFill="1"/>
    <xf numFmtId="0" fontId="1" fillId="2" borderId="0" xfId="0" applyFont="1" applyFill="1"/>
    <xf numFmtId="0" fontId="0" fillId="3" borderId="0" xfId="0" quotePrefix="1" applyFill="1"/>
    <xf numFmtId="0" fontId="1" fillId="3" borderId="1" xfId="0" applyFont="1" applyFill="1" applyBorder="1" applyAlignment="1">
      <alignment horizontal="left"/>
    </xf>
    <xf numFmtId="0" fontId="1" fillId="3" borderId="1" xfId="0" applyFont="1" applyFill="1" applyBorder="1"/>
    <xf numFmtId="0" fontId="1" fillId="3" borderId="0" xfId="0" applyFont="1" applyFill="1" applyAlignment="1">
      <alignment horizontal="right"/>
    </xf>
    <xf numFmtId="0" fontId="0" fillId="2" borderId="18" xfId="0" applyFill="1" applyBorder="1"/>
    <xf numFmtId="0" fontId="0" fillId="2" borderId="19" xfId="0" applyFill="1" applyBorder="1"/>
    <xf numFmtId="0" fontId="1" fillId="3" borderId="20" xfId="0" applyFont="1" applyFill="1" applyBorder="1"/>
    <xf numFmtId="0" fontId="0" fillId="2" borderId="3" xfId="0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0" fillId="3" borderId="19" xfId="0" applyFill="1" applyBorder="1"/>
    <xf numFmtId="0" fontId="0" fillId="2" borderId="17" xfId="0" applyFill="1" applyBorder="1"/>
    <xf numFmtId="0" fontId="0" fillId="2" borderId="16" xfId="0" applyFill="1" applyBorder="1"/>
    <xf numFmtId="0" fontId="1" fillId="3" borderId="15" xfId="0" applyFont="1" applyFill="1" applyBorder="1"/>
    <xf numFmtId="0" fontId="0" fillId="0" borderId="20" xfId="0" applyBorder="1"/>
    <xf numFmtId="0" fontId="0" fillId="3" borderId="1" xfId="0" applyFill="1" applyBorder="1" applyAlignment="1">
      <alignment horizontal="right"/>
    </xf>
    <xf numFmtId="0" fontId="1" fillId="2" borderId="1" xfId="0" applyFont="1" applyFill="1" applyBorder="1"/>
    <xf numFmtId="0" fontId="3" fillId="3" borderId="0" xfId="0" applyFont="1" applyFill="1" applyAlignment="1">
      <alignment horizontal="left"/>
    </xf>
    <xf numFmtId="0" fontId="7" fillId="3" borderId="0" xfId="0" applyFont="1" applyFill="1"/>
    <xf numFmtId="0" fontId="1" fillId="4" borderId="0" xfId="0" applyFont="1" applyFill="1"/>
    <xf numFmtId="0" fontId="0" fillId="4" borderId="0" xfId="0" applyFill="1"/>
    <xf numFmtId="0" fontId="5" fillId="3" borderId="4" xfId="0" applyFont="1" applyFill="1" applyBorder="1"/>
    <xf numFmtId="0" fontId="5" fillId="3" borderId="5" xfId="0" applyFont="1" applyFill="1" applyBorder="1" applyAlignment="1">
      <alignment horizontal="left"/>
    </xf>
    <xf numFmtId="0" fontId="6" fillId="3" borderId="5" xfId="0" applyFont="1" applyFill="1" applyBorder="1" applyAlignment="1">
      <alignment horizontal="left"/>
    </xf>
    <xf numFmtId="0" fontId="5" fillId="3" borderId="6" xfId="0" applyFont="1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3" borderId="3" xfId="0" applyFill="1" applyBorder="1"/>
    <xf numFmtId="0" fontId="0" fillId="3" borderId="7" xfId="0" applyFill="1" applyBorder="1" applyAlignment="1">
      <alignment horizontal="left" vertical="top" wrapText="1"/>
    </xf>
    <xf numFmtId="0" fontId="0" fillId="3" borderId="8" xfId="0" applyFill="1" applyBorder="1" applyAlignment="1">
      <alignment horizontal="left" vertical="top" wrapText="1"/>
    </xf>
    <xf numFmtId="0" fontId="0" fillId="3" borderId="9" xfId="0" applyFill="1" applyBorder="1" applyAlignment="1">
      <alignment horizontal="left" vertical="top" wrapText="1"/>
    </xf>
    <xf numFmtId="0" fontId="0" fillId="3" borderId="10" xfId="0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3" borderId="11" xfId="0" applyFill="1" applyBorder="1" applyAlignment="1">
      <alignment horizontal="left" vertical="top" wrapText="1"/>
    </xf>
    <xf numFmtId="0" fontId="0" fillId="3" borderId="12" xfId="0" applyFill="1" applyBorder="1" applyAlignment="1">
      <alignment horizontal="left" vertical="top" wrapText="1"/>
    </xf>
    <xf numFmtId="0" fontId="0" fillId="3" borderId="13" xfId="0" applyFill="1" applyBorder="1" applyAlignment="1">
      <alignment horizontal="left" vertical="top" wrapText="1"/>
    </xf>
    <xf numFmtId="0" fontId="0" fillId="3" borderId="14" xfId="0" applyFill="1" applyBorder="1" applyAlignment="1">
      <alignment horizontal="left" vertical="top" wrapText="1"/>
    </xf>
    <xf numFmtId="0" fontId="1" fillId="3" borderId="0" xfId="0" applyFont="1" applyFill="1" applyAlignment="1">
      <alignment horizontal="left"/>
    </xf>
    <xf numFmtId="0" fontId="1" fillId="3" borderId="0" xfId="0" applyFont="1" applyFill="1" applyAlignment="1">
      <alignment horizontal="right"/>
    </xf>
    <xf numFmtId="0" fontId="0" fillId="3" borderId="0" xfId="0" applyFill="1" applyBorder="1"/>
  </cellXfs>
  <cellStyles count="2">
    <cellStyle name="Hyperkobling" xfId="1" builtinId="8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ill>
        <patternFill>
          <fgColor theme="9" tint="0.59996337778862885"/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CJ1352"/>
  <sheetViews>
    <sheetView tabSelected="1" topLeftCell="A2" zoomScaleNormal="100" workbookViewId="0">
      <selection activeCell="B30" sqref="B30"/>
    </sheetView>
  </sheetViews>
  <sheetFormatPr baseColWidth="10" defaultColWidth="11.453125" defaultRowHeight="14.5" x14ac:dyDescent="0.35"/>
  <cols>
    <col min="1" max="1" width="16.453125" style="1" customWidth="1"/>
    <col min="2" max="6" width="11.453125" style="1"/>
    <col min="7" max="7" width="11.54296875" style="1" customWidth="1"/>
    <col min="8" max="10" width="11.453125" style="1"/>
    <col min="11" max="11" width="11.453125" style="7"/>
    <col min="12" max="16384" width="11.453125" style="1"/>
  </cols>
  <sheetData>
    <row r="1" spans="1:24" x14ac:dyDescent="0.35">
      <c r="M1" s="46" t="s">
        <v>29</v>
      </c>
      <c r="N1" s="47"/>
      <c r="O1" s="47"/>
      <c r="P1" s="47"/>
      <c r="Q1" s="47"/>
      <c r="R1" s="48"/>
    </row>
    <row r="2" spans="1:24" x14ac:dyDescent="0.35">
      <c r="A2" s="4" t="s">
        <v>8</v>
      </c>
      <c r="D2" s="35">
        <v>23</v>
      </c>
      <c r="M2" s="49"/>
      <c r="N2" s="50"/>
      <c r="O2" s="50"/>
      <c r="P2" s="50"/>
      <c r="Q2" s="50"/>
      <c r="R2" s="51"/>
    </row>
    <row r="3" spans="1:24" x14ac:dyDescent="0.35">
      <c r="M3" s="49"/>
      <c r="N3" s="50"/>
      <c r="O3" s="50"/>
      <c r="P3" s="50"/>
      <c r="Q3" s="50"/>
      <c r="R3" s="51"/>
    </row>
    <row r="4" spans="1:24" s="4" customFormat="1" ht="15" thickBot="1" x14ac:dyDescent="0.4">
      <c r="A4" s="55" t="s">
        <v>17</v>
      </c>
      <c r="B4" s="55"/>
      <c r="D4" s="55" t="s">
        <v>10</v>
      </c>
      <c r="E4" s="55"/>
      <c r="I4" s="4" t="s">
        <v>18</v>
      </c>
      <c r="M4" s="49"/>
      <c r="N4" s="50"/>
      <c r="O4" s="50"/>
      <c r="P4" s="50"/>
      <c r="Q4" s="50"/>
      <c r="R4" s="51"/>
    </row>
    <row r="5" spans="1:24" s="4" customFormat="1" x14ac:dyDescent="0.35">
      <c r="A5" s="4" t="s">
        <v>14</v>
      </c>
      <c r="B5" s="4" t="s">
        <v>16</v>
      </c>
      <c r="D5" s="4" t="s">
        <v>11</v>
      </c>
      <c r="E5" s="4" t="s">
        <v>12</v>
      </c>
      <c r="F5" s="4" t="s">
        <v>13</v>
      </c>
      <c r="G5" s="4" t="s">
        <v>5</v>
      </c>
      <c r="I5" s="4" t="s">
        <v>19</v>
      </c>
      <c r="K5" s="40" t="s">
        <v>20</v>
      </c>
      <c r="M5" s="49"/>
      <c r="N5" s="50"/>
      <c r="O5" s="50"/>
      <c r="P5" s="50"/>
      <c r="Q5" s="50"/>
      <c r="R5" s="51"/>
      <c r="S5" s="12"/>
      <c r="T5" s="12"/>
      <c r="U5" s="12"/>
      <c r="V5" s="12"/>
      <c r="W5" s="12"/>
      <c r="X5" s="12"/>
    </row>
    <row r="6" spans="1:24" x14ac:dyDescent="0.35">
      <c r="A6" s="35" t="s">
        <v>30</v>
      </c>
      <c r="B6" s="35">
        <v>54</v>
      </c>
      <c r="D6" s="5">
        <f t="shared" ref="D6:D18" si="0">B6*$D$2</f>
        <v>1242</v>
      </c>
      <c r="E6" s="35">
        <v>29</v>
      </c>
      <c r="F6" s="35">
        <v>7</v>
      </c>
      <c r="G6" s="5">
        <f>D6+E6-F6</f>
        <v>1264</v>
      </c>
      <c r="I6" s="5"/>
      <c r="K6" s="41" t="s">
        <v>22</v>
      </c>
      <c r="M6" s="49"/>
      <c r="N6" s="50"/>
      <c r="O6" s="50"/>
      <c r="P6" s="50"/>
      <c r="Q6" s="50"/>
      <c r="R6" s="51"/>
      <c r="S6" s="11"/>
      <c r="T6" s="11"/>
      <c r="U6" s="11"/>
      <c r="V6" s="11"/>
      <c r="W6" s="11"/>
      <c r="X6" s="11"/>
    </row>
    <row r="7" spans="1:24" x14ac:dyDescent="0.35">
      <c r="A7" s="35" t="s">
        <v>31</v>
      </c>
      <c r="B7" s="35">
        <v>78</v>
      </c>
      <c r="D7" s="5">
        <f t="shared" si="0"/>
        <v>1794</v>
      </c>
      <c r="E7" s="35">
        <v>40</v>
      </c>
      <c r="F7" s="35">
        <v>80</v>
      </c>
      <c r="G7" s="5">
        <f t="shared" ref="G7:G10" si="1">D7+E7-F7</f>
        <v>1754</v>
      </c>
      <c r="I7" s="5"/>
      <c r="K7" s="42"/>
      <c r="M7" s="49"/>
      <c r="N7" s="50"/>
      <c r="O7" s="50"/>
      <c r="P7" s="50"/>
      <c r="Q7" s="50"/>
      <c r="R7" s="51"/>
      <c r="S7" s="12"/>
      <c r="T7" s="12"/>
      <c r="U7" s="12"/>
      <c r="V7" s="12"/>
      <c r="W7" s="12"/>
      <c r="X7" s="7"/>
    </row>
    <row r="8" spans="1:24" ht="15" thickBot="1" x14ac:dyDescent="0.4">
      <c r="A8" s="35" t="s">
        <v>32</v>
      </c>
      <c r="B8" s="35">
        <v>70</v>
      </c>
      <c r="D8" s="5">
        <f t="shared" si="0"/>
        <v>1610</v>
      </c>
      <c r="E8" s="35">
        <v>49</v>
      </c>
      <c r="F8" s="35">
        <v>21</v>
      </c>
      <c r="G8" s="5">
        <f t="shared" si="1"/>
        <v>1638</v>
      </c>
      <c r="I8" s="5"/>
      <c r="K8" s="41" t="s">
        <v>21</v>
      </c>
      <c r="M8" s="52"/>
      <c r="N8" s="53"/>
      <c r="O8" s="53"/>
      <c r="P8" s="53"/>
      <c r="Q8" s="53"/>
      <c r="R8" s="54"/>
    </row>
    <row r="9" spans="1:24" ht="15" thickBot="1" x14ac:dyDescent="0.4">
      <c r="A9" s="35" t="s">
        <v>33</v>
      </c>
      <c r="B9" s="35">
        <v>449</v>
      </c>
      <c r="D9" s="5">
        <f t="shared" si="0"/>
        <v>10327</v>
      </c>
      <c r="E9" s="35">
        <v>329</v>
      </c>
      <c r="F9" s="35">
        <v>369</v>
      </c>
      <c r="G9" s="5">
        <f t="shared" si="1"/>
        <v>10287</v>
      </c>
      <c r="I9" s="5"/>
      <c r="K9" s="43">
        <v>48</v>
      </c>
    </row>
    <row r="10" spans="1:24" x14ac:dyDescent="0.35">
      <c r="A10" s="35" t="s">
        <v>34</v>
      </c>
      <c r="B10" s="35">
        <v>372</v>
      </c>
      <c r="D10" s="5">
        <f>B10*$D$2</f>
        <v>8556</v>
      </c>
      <c r="E10" s="35">
        <v>215</v>
      </c>
      <c r="F10" s="35">
        <v>146</v>
      </c>
      <c r="G10" s="5">
        <f t="shared" si="1"/>
        <v>8625</v>
      </c>
      <c r="I10" s="5"/>
      <c r="K10" s="15"/>
      <c r="L10" s="11"/>
      <c r="M10" s="38" t="s">
        <v>27</v>
      </c>
      <c r="N10" s="39"/>
    </row>
    <row r="11" spans="1:24" x14ac:dyDescent="0.35">
      <c r="A11" s="35" t="s">
        <v>35</v>
      </c>
      <c r="B11" s="35">
        <v>279</v>
      </c>
      <c r="D11" s="5">
        <f t="shared" si="0"/>
        <v>6417</v>
      </c>
      <c r="E11" s="35">
        <v>153</v>
      </c>
      <c r="F11" s="35">
        <v>113</v>
      </c>
      <c r="G11" s="5">
        <f>D11+E11-F11</f>
        <v>6457</v>
      </c>
      <c r="I11" s="5"/>
    </row>
    <row r="12" spans="1:24" x14ac:dyDescent="0.35">
      <c r="A12" s="35" t="s">
        <v>36</v>
      </c>
      <c r="B12" s="35">
        <v>213</v>
      </c>
      <c r="D12" s="5">
        <f t="shared" si="0"/>
        <v>4899</v>
      </c>
      <c r="E12" s="35">
        <v>83</v>
      </c>
      <c r="F12" s="35">
        <v>140</v>
      </c>
      <c r="G12" s="5">
        <f t="shared" ref="G12:G25" si="2">D12+E12-F12</f>
        <v>4842</v>
      </c>
      <c r="I12" s="5"/>
    </row>
    <row r="13" spans="1:24" x14ac:dyDescent="0.35">
      <c r="A13" s="35" t="s">
        <v>37</v>
      </c>
      <c r="B13" s="35">
        <v>338</v>
      </c>
      <c r="D13" s="5">
        <f t="shared" si="0"/>
        <v>7774</v>
      </c>
      <c r="E13" s="35">
        <v>268</v>
      </c>
      <c r="F13" s="35">
        <v>290</v>
      </c>
      <c r="G13" s="5">
        <f t="shared" si="2"/>
        <v>7752</v>
      </c>
      <c r="I13" s="5"/>
    </row>
    <row r="14" spans="1:24" x14ac:dyDescent="0.35">
      <c r="A14" s="35"/>
      <c r="B14" s="35"/>
      <c r="D14" s="5">
        <f t="shared" si="0"/>
        <v>0</v>
      </c>
      <c r="E14" s="35"/>
      <c r="F14" s="35"/>
      <c r="G14" s="5">
        <f t="shared" si="2"/>
        <v>0</v>
      </c>
      <c r="I14" s="5"/>
    </row>
    <row r="15" spans="1:24" x14ac:dyDescent="0.35">
      <c r="A15" s="35"/>
      <c r="B15" s="35"/>
      <c r="D15" s="5">
        <f t="shared" si="0"/>
        <v>0</v>
      </c>
      <c r="E15" s="35"/>
      <c r="F15" s="35"/>
      <c r="G15" s="5">
        <f t="shared" si="2"/>
        <v>0</v>
      </c>
      <c r="I15" s="5"/>
    </row>
    <row r="16" spans="1:24" x14ac:dyDescent="0.35">
      <c r="A16" s="35"/>
      <c r="B16" s="35"/>
      <c r="D16" s="5">
        <f t="shared" si="0"/>
        <v>0</v>
      </c>
      <c r="E16" s="35"/>
      <c r="F16" s="35"/>
      <c r="G16" s="5">
        <f t="shared" si="2"/>
        <v>0</v>
      </c>
      <c r="I16" s="5"/>
    </row>
    <row r="17" spans="1:88" x14ac:dyDescent="0.35">
      <c r="A17" s="35"/>
      <c r="B17" s="35"/>
      <c r="D17" s="5">
        <f t="shared" si="0"/>
        <v>0</v>
      </c>
      <c r="E17" s="35"/>
      <c r="F17" s="35"/>
      <c r="G17" s="5">
        <f t="shared" si="2"/>
        <v>0</v>
      </c>
      <c r="I17" s="5"/>
    </row>
    <row r="18" spans="1:88" x14ac:dyDescent="0.35">
      <c r="A18" s="35"/>
      <c r="B18" s="35"/>
      <c r="D18" s="5">
        <f t="shared" si="0"/>
        <v>0</v>
      </c>
      <c r="E18" s="35"/>
      <c r="F18" s="35"/>
      <c r="G18" s="5">
        <f t="shared" si="2"/>
        <v>0</v>
      </c>
      <c r="I18" s="5"/>
    </row>
    <row r="19" spans="1:88" x14ac:dyDescent="0.35">
      <c r="A19" s="35"/>
      <c r="B19" s="35"/>
      <c r="D19" s="5">
        <f t="shared" ref="D19:D25" si="3">B19*$D$2</f>
        <v>0</v>
      </c>
      <c r="E19" s="35"/>
      <c r="F19" s="35"/>
      <c r="G19" s="5">
        <f t="shared" si="2"/>
        <v>0</v>
      </c>
      <c r="I19" s="5"/>
    </row>
    <row r="20" spans="1:88" x14ac:dyDescent="0.35">
      <c r="A20" s="35"/>
      <c r="B20" s="35"/>
      <c r="D20" s="5">
        <f t="shared" si="3"/>
        <v>0</v>
      </c>
      <c r="E20" s="35"/>
      <c r="F20" s="35"/>
      <c r="G20" s="5">
        <f t="shared" si="2"/>
        <v>0</v>
      </c>
      <c r="I20" s="5"/>
    </row>
    <row r="21" spans="1:88" x14ac:dyDescent="0.35">
      <c r="A21" s="35"/>
      <c r="B21" s="35"/>
      <c r="D21" s="5">
        <f t="shared" si="3"/>
        <v>0</v>
      </c>
      <c r="E21" s="35"/>
      <c r="F21" s="35"/>
      <c r="G21" s="5">
        <f t="shared" si="2"/>
        <v>0</v>
      </c>
      <c r="I21" s="5"/>
    </row>
    <row r="22" spans="1:88" x14ac:dyDescent="0.35">
      <c r="A22" s="35"/>
      <c r="B22" s="35"/>
      <c r="D22" s="5">
        <f t="shared" si="3"/>
        <v>0</v>
      </c>
      <c r="E22" s="35"/>
      <c r="F22" s="35"/>
      <c r="G22" s="5">
        <f t="shared" si="2"/>
        <v>0</v>
      </c>
      <c r="I22" s="5"/>
    </row>
    <row r="23" spans="1:88" x14ac:dyDescent="0.35">
      <c r="A23" s="35"/>
      <c r="B23" s="35"/>
      <c r="D23" s="5">
        <f t="shared" si="3"/>
        <v>0</v>
      </c>
      <c r="E23" s="35"/>
      <c r="F23" s="35"/>
      <c r="G23" s="5">
        <f t="shared" si="2"/>
        <v>0</v>
      </c>
      <c r="I23" s="5"/>
    </row>
    <row r="24" spans="1:88" x14ac:dyDescent="0.35">
      <c r="A24" s="35"/>
      <c r="B24" s="35"/>
      <c r="D24" s="5">
        <f t="shared" si="3"/>
        <v>0</v>
      </c>
      <c r="E24" s="35"/>
      <c r="F24" s="35"/>
      <c r="G24" s="5">
        <f t="shared" si="2"/>
        <v>0</v>
      </c>
      <c r="I24" s="5"/>
    </row>
    <row r="25" spans="1:88" x14ac:dyDescent="0.35">
      <c r="A25" s="35"/>
      <c r="B25" s="35"/>
      <c r="D25" s="5">
        <f t="shared" si="3"/>
        <v>0</v>
      </c>
      <c r="E25" s="35"/>
      <c r="F25" s="35"/>
      <c r="G25" s="5">
        <f t="shared" si="2"/>
        <v>0</v>
      </c>
      <c r="I25" s="5"/>
    </row>
    <row r="26" spans="1:88" x14ac:dyDescent="0.35">
      <c r="D26" s="1" t="s">
        <v>28</v>
      </c>
      <c r="E26" s="37">
        <f>SUM(E6:E25)</f>
        <v>1166</v>
      </c>
      <c r="F26" s="37">
        <f>SUM(F6:F25)</f>
        <v>1166</v>
      </c>
      <c r="G26" s="36" t="str">
        <f>IF(E6="","",IF(E26=F26,"Ok!","Ulike summer for tilganger og avganger"))</f>
        <v>Ok!</v>
      </c>
    </row>
    <row r="27" spans="1:88" ht="15" thickBot="1" x14ac:dyDescent="0.4">
      <c r="B27" s="4" t="s">
        <v>9</v>
      </c>
    </row>
    <row r="28" spans="1:88" s="7" customFormat="1" ht="15" thickBot="1" x14ac:dyDescent="0.4">
      <c r="A28" s="13" t="s">
        <v>14</v>
      </c>
      <c r="B28" s="13">
        <v>1.4</v>
      </c>
      <c r="C28" s="13">
        <v>3</v>
      </c>
      <c r="D28" s="13">
        <v>5</v>
      </c>
      <c r="E28" s="13">
        <v>7</v>
      </c>
      <c r="F28" s="13">
        <v>9</v>
      </c>
      <c r="G28" s="13">
        <v>11</v>
      </c>
      <c r="H28" s="13">
        <v>13</v>
      </c>
      <c r="I28" s="13">
        <v>15</v>
      </c>
      <c r="J28" s="13">
        <v>17</v>
      </c>
      <c r="K28" s="13">
        <v>19</v>
      </c>
      <c r="L28" s="13">
        <v>21</v>
      </c>
      <c r="M28" s="13">
        <v>23</v>
      </c>
      <c r="N28" s="13">
        <v>25</v>
      </c>
      <c r="O28" s="13">
        <v>27</v>
      </c>
      <c r="P28" s="13">
        <v>29</v>
      </c>
      <c r="Q28" s="13">
        <v>31</v>
      </c>
      <c r="R28" s="13">
        <v>33</v>
      </c>
      <c r="S28" s="13">
        <v>35</v>
      </c>
      <c r="T28" s="13">
        <v>37</v>
      </c>
      <c r="U28" s="13">
        <v>39</v>
      </c>
      <c r="V28" s="13">
        <v>41</v>
      </c>
      <c r="W28" s="13">
        <v>43</v>
      </c>
      <c r="X28" s="13">
        <v>45</v>
      </c>
      <c r="Y28" s="13">
        <v>47</v>
      </c>
      <c r="Z28" s="13">
        <v>49</v>
      </c>
      <c r="AA28" s="13">
        <v>51</v>
      </c>
      <c r="AB28" s="13">
        <v>53</v>
      </c>
      <c r="AC28" s="13">
        <v>55</v>
      </c>
      <c r="AD28" s="13">
        <v>57</v>
      </c>
      <c r="AE28" s="13">
        <v>59</v>
      </c>
      <c r="AF28" s="13">
        <v>61</v>
      </c>
      <c r="AG28" s="13">
        <v>63</v>
      </c>
      <c r="AH28" s="13">
        <v>65</v>
      </c>
      <c r="AI28" s="13">
        <v>67</v>
      </c>
      <c r="AJ28" s="13">
        <v>69</v>
      </c>
      <c r="AK28" s="13">
        <v>71</v>
      </c>
      <c r="AL28" s="13">
        <v>73</v>
      </c>
      <c r="AM28" s="13">
        <v>75</v>
      </c>
      <c r="AN28" s="13">
        <v>77</v>
      </c>
      <c r="AO28" s="13">
        <v>79</v>
      </c>
      <c r="AP28" s="13">
        <v>81</v>
      </c>
      <c r="AQ28" s="13">
        <v>83</v>
      </c>
      <c r="AR28" s="13">
        <v>85</v>
      </c>
      <c r="AS28" s="13">
        <v>87</v>
      </c>
      <c r="AT28" s="13">
        <v>89</v>
      </c>
      <c r="AU28" s="13">
        <v>91</v>
      </c>
      <c r="AV28" s="13">
        <v>93</v>
      </c>
      <c r="AW28" s="13">
        <v>95</v>
      </c>
      <c r="AX28" s="13">
        <v>97</v>
      </c>
      <c r="AY28" s="13">
        <v>99</v>
      </c>
      <c r="AZ28" s="13">
        <v>101</v>
      </c>
      <c r="BA28" s="13">
        <v>103</v>
      </c>
      <c r="BB28" s="13">
        <v>105</v>
      </c>
      <c r="BC28" s="13">
        <v>107</v>
      </c>
      <c r="BD28" s="13">
        <v>109</v>
      </c>
      <c r="BE28" s="13">
        <v>111</v>
      </c>
      <c r="BF28" s="13">
        <v>113</v>
      </c>
      <c r="BG28" s="13">
        <v>115</v>
      </c>
      <c r="BH28" s="13">
        <v>117</v>
      </c>
      <c r="BI28" s="13">
        <v>119</v>
      </c>
      <c r="BJ28" s="13">
        <v>121</v>
      </c>
      <c r="BK28" s="13">
        <v>123</v>
      </c>
      <c r="BL28" s="13">
        <v>125</v>
      </c>
      <c r="BM28" s="13">
        <v>127</v>
      </c>
      <c r="BN28" s="13">
        <v>129</v>
      </c>
      <c r="BO28" s="13">
        <v>131</v>
      </c>
      <c r="BP28" s="13">
        <v>133</v>
      </c>
      <c r="BQ28" s="13">
        <v>135</v>
      </c>
      <c r="BR28" s="13">
        <v>137</v>
      </c>
      <c r="BS28" s="13">
        <v>139</v>
      </c>
      <c r="BT28" s="13">
        <v>141</v>
      </c>
      <c r="BU28" s="13">
        <v>143</v>
      </c>
      <c r="BV28" s="13">
        <v>145</v>
      </c>
      <c r="BW28" s="13">
        <v>147</v>
      </c>
      <c r="BX28" s="13">
        <v>149</v>
      </c>
      <c r="BY28" s="13">
        <v>151</v>
      </c>
      <c r="BZ28" s="13">
        <v>153</v>
      </c>
      <c r="CA28" s="13">
        <v>155</v>
      </c>
      <c r="CB28" s="13">
        <v>157</v>
      </c>
      <c r="CC28" s="13">
        <v>159</v>
      </c>
      <c r="CD28" s="13">
        <v>161</v>
      </c>
      <c r="CE28" s="13">
        <v>163</v>
      </c>
      <c r="CF28" s="13">
        <v>165</v>
      </c>
      <c r="CG28" s="13">
        <v>167</v>
      </c>
      <c r="CH28" s="13">
        <v>169</v>
      </c>
      <c r="CI28" s="13">
        <v>171</v>
      </c>
      <c r="CJ28" s="13">
        <v>173</v>
      </c>
    </row>
    <row r="29" spans="1:88" s="16" customFormat="1" x14ac:dyDescent="0.35">
      <c r="A29" s="5" t="str">
        <f>IF(A6="","",A6)</f>
        <v>Rødt</v>
      </c>
      <c r="B29" s="14">
        <f>$G6/B$28</f>
        <v>902.85714285714289</v>
      </c>
      <c r="C29" s="14">
        <f t="shared" ref="C29:W40" si="4">$G6/C$28</f>
        <v>421.33333333333331</v>
      </c>
      <c r="D29" s="14">
        <f t="shared" si="4"/>
        <v>252.8</v>
      </c>
      <c r="E29" s="14">
        <f t="shared" si="4"/>
        <v>180.57142857142858</v>
      </c>
      <c r="F29" s="14">
        <f t="shared" si="4"/>
        <v>140.44444444444446</v>
      </c>
      <c r="G29" s="14">
        <f t="shared" si="4"/>
        <v>114.90909090909091</v>
      </c>
      <c r="H29" s="14">
        <f t="shared" si="4"/>
        <v>97.230769230769226</v>
      </c>
      <c r="I29" s="14">
        <f>$G6/I$28</f>
        <v>84.266666666666666</v>
      </c>
      <c r="J29" s="14">
        <f t="shared" si="4"/>
        <v>74.352941176470594</v>
      </c>
      <c r="K29" s="14">
        <f t="shared" si="4"/>
        <v>66.526315789473685</v>
      </c>
      <c r="L29" s="14">
        <f t="shared" si="4"/>
        <v>60.19047619047619</v>
      </c>
      <c r="M29" s="14">
        <f t="shared" si="4"/>
        <v>54.956521739130437</v>
      </c>
      <c r="N29" s="14">
        <f t="shared" si="4"/>
        <v>50.56</v>
      </c>
      <c r="O29" s="14">
        <f t="shared" si="4"/>
        <v>46.814814814814817</v>
      </c>
      <c r="P29" s="14">
        <f t="shared" si="4"/>
        <v>43.586206896551722</v>
      </c>
      <c r="Q29" s="14">
        <f t="shared" si="4"/>
        <v>40.774193548387096</v>
      </c>
      <c r="R29" s="14">
        <f t="shared" si="4"/>
        <v>38.303030303030305</v>
      </c>
      <c r="S29" s="14">
        <f t="shared" si="4"/>
        <v>36.114285714285714</v>
      </c>
      <c r="T29" s="14">
        <f t="shared" si="4"/>
        <v>34.162162162162161</v>
      </c>
      <c r="U29" s="14">
        <f t="shared" si="4"/>
        <v>32.410256410256409</v>
      </c>
      <c r="V29" s="14">
        <f t="shared" si="4"/>
        <v>30.829268292682926</v>
      </c>
      <c r="W29" s="14">
        <f t="shared" si="4"/>
        <v>29.395348837209301</v>
      </c>
      <c r="X29" s="14">
        <f t="shared" ref="X29:CI29" si="5">$G6/X$28</f>
        <v>28.088888888888889</v>
      </c>
      <c r="Y29" s="14">
        <f t="shared" si="5"/>
        <v>26.893617021276597</v>
      </c>
      <c r="Z29" s="14">
        <f t="shared" si="5"/>
        <v>25.795918367346939</v>
      </c>
      <c r="AA29" s="14">
        <f t="shared" si="5"/>
        <v>24.784313725490197</v>
      </c>
      <c r="AB29" s="14">
        <f t="shared" si="5"/>
        <v>23.849056603773583</v>
      </c>
      <c r="AC29" s="14">
        <f t="shared" si="5"/>
        <v>22.981818181818181</v>
      </c>
      <c r="AD29" s="14">
        <f t="shared" si="5"/>
        <v>22.17543859649123</v>
      </c>
      <c r="AE29" s="14">
        <f t="shared" si="5"/>
        <v>21.423728813559322</v>
      </c>
      <c r="AF29" s="14">
        <f t="shared" si="5"/>
        <v>20.721311475409838</v>
      </c>
      <c r="AG29" s="14">
        <f t="shared" si="5"/>
        <v>20.063492063492063</v>
      </c>
      <c r="AH29" s="14">
        <f t="shared" si="5"/>
        <v>19.446153846153845</v>
      </c>
      <c r="AI29" s="14">
        <f t="shared" si="5"/>
        <v>18.865671641791046</v>
      </c>
      <c r="AJ29" s="14">
        <f t="shared" si="5"/>
        <v>18.318840579710145</v>
      </c>
      <c r="AK29" s="14">
        <f t="shared" si="5"/>
        <v>17.802816901408452</v>
      </c>
      <c r="AL29" s="14">
        <f t="shared" si="5"/>
        <v>17.315068493150687</v>
      </c>
      <c r="AM29" s="14">
        <f t="shared" si="5"/>
        <v>16.853333333333332</v>
      </c>
      <c r="AN29" s="14">
        <f>$G6/AN$28</f>
        <v>16.415584415584416</v>
      </c>
      <c r="AO29" s="14">
        <f t="shared" si="5"/>
        <v>16</v>
      </c>
      <c r="AP29" s="14">
        <f t="shared" si="5"/>
        <v>15.604938271604938</v>
      </c>
      <c r="AQ29" s="14">
        <f t="shared" si="5"/>
        <v>15.228915662650602</v>
      </c>
      <c r="AR29" s="14">
        <f t="shared" si="5"/>
        <v>14.870588235294118</v>
      </c>
      <c r="AS29" s="14">
        <f t="shared" si="5"/>
        <v>14.528735632183908</v>
      </c>
      <c r="AT29" s="14">
        <f t="shared" si="5"/>
        <v>14.202247191011235</v>
      </c>
      <c r="AU29" s="14">
        <f t="shared" si="5"/>
        <v>13.890109890109891</v>
      </c>
      <c r="AV29" s="14">
        <f t="shared" si="5"/>
        <v>13.591397849462366</v>
      </c>
      <c r="AW29" s="14">
        <f t="shared" si="5"/>
        <v>13.305263157894737</v>
      </c>
      <c r="AX29" s="14">
        <f t="shared" si="5"/>
        <v>13.030927835051546</v>
      </c>
      <c r="AY29" s="14">
        <f t="shared" si="5"/>
        <v>12.767676767676768</v>
      </c>
      <c r="AZ29" s="14">
        <f t="shared" si="5"/>
        <v>12.514851485148515</v>
      </c>
      <c r="BA29" s="14">
        <f t="shared" si="5"/>
        <v>12.271844660194175</v>
      </c>
      <c r="BB29" s="14">
        <f t="shared" si="5"/>
        <v>12.038095238095238</v>
      </c>
      <c r="BC29" s="14">
        <f t="shared" si="5"/>
        <v>11.813084112149532</v>
      </c>
      <c r="BD29" s="14">
        <f t="shared" si="5"/>
        <v>11.596330275229358</v>
      </c>
      <c r="BE29" s="14">
        <f t="shared" si="5"/>
        <v>11.387387387387387</v>
      </c>
      <c r="BF29" s="14">
        <f t="shared" si="5"/>
        <v>11.185840707964601</v>
      </c>
      <c r="BG29" s="14">
        <f t="shared" si="5"/>
        <v>10.991304347826087</v>
      </c>
      <c r="BH29" s="14">
        <f t="shared" si="5"/>
        <v>10.803418803418804</v>
      </c>
      <c r="BI29" s="14">
        <f t="shared" si="5"/>
        <v>10.621848739495798</v>
      </c>
      <c r="BJ29" s="14">
        <f t="shared" si="5"/>
        <v>10.446280991735538</v>
      </c>
      <c r="BK29" s="14">
        <f t="shared" si="5"/>
        <v>10.276422764227643</v>
      </c>
      <c r="BL29" s="14">
        <f t="shared" si="5"/>
        <v>10.112</v>
      </c>
      <c r="BM29" s="14">
        <f t="shared" si="5"/>
        <v>9.9527559055118111</v>
      </c>
      <c r="BN29" s="14">
        <f t="shared" si="5"/>
        <v>9.7984496124031004</v>
      </c>
      <c r="BO29" s="14">
        <f t="shared" si="5"/>
        <v>9.6488549618320612</v>
      </c>
      <c r="BP29" s="14">
        <f t="shared" si="5"/>
        <v>9.503759398496241</v>
      </c>
      <c r="BQ29" s="14">
        <f t="shared" si="5"/>
        <v>9.3629629629629623</v>
      </c>
      <c r="BR29" s="14">
        <f t="shared" si="5"/>
        <v>9.2262773722627731</v>
      </c>
      <c r="BS29" s="14">
        <f t="shared" si="5"/>
        <v>9.0935251798561154</v>
      </c>
      <c r="BT29" s="14">
        <f t="shared" si="5"/>
        <v>8.9645390070921991</v>
      </c>
      <c r="BU29" s="14">
        <f t="shared" si="5"/>
        <v>8.8391608391608383</v>
      </c>
      <c r="BV29" s="14">
        <f t="shared" si="5"/>
        <v>8.7172413793103445</v>
      </c>
      <c r="BW29" s="14">
        <f t="shared" si="5"/>
        <v>8.5986394557823136</v>
      </c>
      <c r="BX29" s="14">
        <f t="shared" si="5"/>
        <v>8.4832214765100673</v>
      </c>
      <c r="BY29" s="14">
        <f t="shared" si="5"/>
        <v>8.370860927152318</v>
      </c>
      <c r="BZ29" s="14">
        <f t="shared" si="5"/>
        <v>8.2614379084967329</v>
      </c>
      <c r="CA29" s="14">
        <f t="shared" si="5"/>
        <v>8.1548387096774189</v>
      </c>
      <c r="CB29" s="14">
        <f t="shared" si="5"/>
        <v>8.0509554140127388</v>
      </c>
      <c r="CC29" s="14">
        <f t="shared" si="5"/>
        <v>7.949685534591195</v>
      </c>
      <c r="CD29" s="14">
        <f t="shared" si="5"/>
        <v>7.8509316770186333</v>
      </c>
      <c r="CE29" s="14">
        <f t="shared" si="5"/>
        <v>7.7546012269938647</v>
      </c>
      <c r="CF29" s="14">
        <f t="shared" si="5"/>
        <v>7.6606060606060602</v>
      </c>
      <c r="CG29" s="14">
        <f t="shared" si="5"/>
        <v>7.568862275449102</v>
      </c>
      <c r="CH29" s="14">
        <f t="shared" si="5"/>
        <v>7.4792899408284024</v>
      </c>
      <c r="CI29" s="14">
        <f t="shared" si="5"/>
        <v>7.3918128654970756</v>
      </c>
      <c r="CJ29" s="14">
        <f t="shared" ref="CJ29" si="6">$G6/CJ$28</f>
        <v>7.3063583815028901</v>
      </c>
    </row>
    <row r="30" spans="1:88" s="16" customFormat="1" x14ac:dyDescent="0.35">
      <c r="A30" s="5" t="str">
        <f t="shared" ref="A30:A43" si="7">IF(A7="","",A7)</f>
        <v>Kristelig Folkeparti</v>
      </c>
      <c r="B30" s="14">
        <f>$G7/B$28</f>
        <v>1252.8571428571429</v>
      </c>
      <c r="C30" s="14">
        <f t="shared" ref="B30:Q40" si="8">$G7/C$28</f>
        <v>584.66666666666663</v>
      </c>
      <c r="D30" s="14">
        <f t="shared" si="8"/>
        <v>350.8</v>
      </c>
      <c r="E30" s="14">
        <f t="shared" si="8"/>
        <v>250.57142857142858</v>
      </c>
      <c r="F30" s="14">
        <f t="shared" si="8"/>
        <v>194.88888888888889</v>
      </c>
      <c r="G30" s="14">
        <f t="shared" si="8"/>
        <v>159.45454545454547</v>
      </c>
      <c r="H30" s="14">
        <f t="shared" si="8"/>
        <v>134.92307692307693</v>
      </c>
      <c r="I30" s="14">
        <f t="shared" si="8"/>
        <v>116.93333333333334</v>
      </c>
      <c r="J30" s="14">
        <f t="shared" si="8"/>
        <v>103.17647058823529</v>
      </c>
      <c r="K30" s="14">
        <f>$G7/K$28</f>
        <v>92.315789473684205</v>
      </c>
      <c r="L30" s="14">
        <f t="shared" si="8"/>
        <v>83.523809523809518</v>
      </c>
      <c r="M30" s="14">
        <f t="shared" si="8"/>
        <v>76.260869565217391</v>
      </c>
      <c r="N30" s="14">
        <f t="shared" si="8"/>
        <v>70.16</v>
      </c>
      <c r="O30" s="14">
        <f t="shared" si="8"/>
        <v>64.962962962962962</v>
      </c>
      <c r="P30" s="14">
        <f t="shared" si="8"/>
        <v>60.482758620689658</v>
      </c>
      <c r="Q30" s="14">
        <f t="shared" si="8"/>
        <v>56.58064516129032</v>
      </c>
      <c r="R30" s="14">
        <f t="shared" si="4"/>
        <v>53.151515151515149</v>
      </c>
      <c r="S30" s="14">
        <f t="shared" si="4"/>
        <v>50.114285714285714</v>
      </c>
      <c r="T30" s="14">
        <f t="shared" si="4"/>
        <v>47.405405405405403</v>
      </c>
      <c r="U30" s="14">
        <f t="shared" si="4"/>
        <v>44.974358974358971</v>
      </c>
      <c r="V30" s="14">
        <f t="shared" ref="V30:W40" si="9">$G7/V$28</f>
        <v>42.780487804878049</v>
      </c>
      <c r="W30" s="14">
        <f t="shared" si="9"/>
        <v>40.790697674418603</v>
      </c>
      <c r="X30" s="14">
        <f t="shared" ref="X30:CI30" si="10">$G7/X$28</f>
        <v>38.977777777777774</v>
      </c>
      <c r="Y30" s="14">
        <f t="shared" si="10"/>
        <v>37.319148936170215</v>
      </c>
      <c r="Z30" s="14">
        <f t="shared" si="10"/>
        <v>35.795918367346935</v>
      </c>
      <c r="AA30" s="14">
        <f t="shared" si="10"/>
        <v>34.392156862745097</v>
      </c>
      <c r="AB30" s="14">
        <f t="shared" si="10"/>
        <v>33.094339622641506</v>
      </c>
      <c r="AC30" s="14">
        <f t="shared" si="10"/>
        <v>31.890909090909091</v>
      </c>
      <c r="AD30" s="14">
        <f t="shared" si="10"/>
        <v>30.771929824561404</v>
      </c>
      <c r="AE30" s="14">
        <f t="shared" si="10"/>
        <v>29.728813559322035</v>
      </c>
      <c r="AF30" s="14">
        <f t="shared" si="10"/>
        <v>28.754098360655739</v>
      </c>
      <c r="AG30" s="14">
        <f t="shared" si="10"/>
        <v>27.841269841269842</v>
      </c>
      <c r="AH30" s="14">
        <f t="shared" si="10"/>
        <v>26.984615384615385</v>
      </c>
      <c r="AI30" s="14">
        <f t="shared" si="10"/>
        <v>26.17910447761194</v>
      </c>
      <c r="AJ30" s="14">
        <f t="shared" si="10"/>
        <v>25.420289855072465</v>
      </c>
      <c r="AK30" s="14">
        <f t="shared" si="10"/>
        <v>24.704225352112676</v>
      </c>
      <c r="AL30" s="14">
        <f t="shared" si="10"/>
        <v>24.027397260273972</v>
      </c>
      <c r="AM30" s="14">
        <f t="shared" si="10"/>
        <v>23.386666666666667</v>
      </c>
      <c r="AN30" s="14">
        <f t="shared" si="10"/>
        <v>22.779220779220779</v>
      </c>
      <c r="AO30" s="14">
        <f t="shared" si="10"/>
        <v>22.202531645569621</v>
      </c>
      <c r="AP30" s="14">
        <f t="shared" si="10"/>
        <v>21.654320987654319</v>
      </c>
      <c r="AQ30" s="14">
        <f t="shared" si="10"/>
        <v>21.132530120481928</v>
      </c>
      <c r="AR30" s="14">
        <f t="shared" si="10"/>
        <v>20.63529411764706</v>
      </c>
      <c r="AS30" s="14">
        <f t="shared" si="10"/>
        <v>20.160919540229884</v>
      </c>
      <c r="AT30" s="14">
        <f t="shared" si="10"/>
        <v>19.707865168539325</v>
      </c>
      <c r="AU30" s="14">
        <f t="shared" si="10"/>
        <v>19.274725274725274</v>
      </c>
      <c r="AV30" s="14">
        <f t="shared" si="10"/>
        <v>18.86021505376344</v>
      </c>
      <c r="AW30" s="14">
        <f t="shared" si="10"/>
        <v>18.463157894736842</v>
      </c>
      <c r="AX30" s="14">
        <f t="shared" si="10"/>
        <v>18.082474226804123</v>
      </c>
      <c r="AY30" s="14">
        <f t="shared" si="10"/>
        <v>17.717171717171716</v>
      </c>
      <c r="AZ30" s="14">
        <f t="shared" si="10"/>
        <v>17.366336633663366</v>
      </c>
      <c r="BA30" s="14">
        <f t="shared" si="10"/>
        <v>17.029126213592232</v>
      </c>
      <c r="BB30" s="14">
        <f t="shared" si="10"/>
        <v>16.704761904761906</v>
      </c>
      <c r="BC30" s="14">
        <f t="shared" si="10"/>
        <v>16.392523364485982</v>
      </c>
      <c r="BD30" s="14">
        <f t="shared" si="10"/>
        <v>16.091743119266056</v>
      </c>
      <c r="BE30" s="14">
        <f t="shared" si="10"/>
        <v>15.801801801801801</v>
      </c>
      <c r="BF30" s="14">
        <f t="shared" si="10"/>
        <v>15.522123893805309</v>
      </c>
      <c r="BG30" s="14">
        <f t="shared" si="10"/>
        <v>15.252173913043478</v>
      </c>
      <c r="BH30" s="14">
        <f t="shared" si="10"/>
        <v>14.991452991452991</v>
      </c>
      <c r="BI30" s="14">
        <f t="shared" si="10"/>
        <v>14.739495798319327</v>
      </c>
      <c r="BJ30" s="14">
        <f t="shared" si="10"/>
        <v>14.495867768595041</v>
      </c>
      <c r="BK30" s="14">
        <f t="shared" si="10"/>
        <v>14.260162601626016</v>
      </c>
      <c r="BL30" s="14">
        <f t="shared" si="10"/>
        <v>14.032</v>
      </c>
      <c r="BM30" s="14">
        <f t="shared" si="10"/>
        <v>13.811023622047244</v>
      </c>
      <c r="BN30" s="14">
        <f t="shared" si="10"/>
        <v>13.596899224806201</v>
      </c>
      <c r="BO30" s="14">
        <f t="shared" si="10"/>
        <v>13.389312977099237</v>
      </c>
      <c r="BP30" s="14">
        <f t="shared" si="10"/>
        <v>13.18796992481203</v>
      </c>
      <c r="BQ30" s="14">
        <f t="shared" si="10"/>
        <v>12.992592592592592</v>
      </c>
      <c r="BR30" s="14">
        <f t="shared" si="10"/>
        <v>12.802919708029197</v>
      </c>
      <c r="BS30" s="14">
        <f t="shared" si="10"/>
        <v>12.618705035971223</v>
      </c>
      <c r="BT30" s="14">
        <f>$G7/BT$28</f>
        <v>12.439716312056738</v>
      </c>
      <c r="BU30" s="14">
        <f t="shared" si="10"/>
        <v>12.265734265734265</v>
      </c>
      <c r="BV30" s="14">
        <f t="shared" si="10"/>
        <v>12.096551724137932</v>
      </c>
      <c r="BW30" s="14">
        <f t="shared" si="10"/>
        <v>11.931972789115646</v>
      </c>
      <c r="BX30" s="14">
        <f t="shared" si="10"/>
        <v>11.771812080536913</v>
      </c>
      <c r="BY30" s="14">
        <f t="shared" si="10"/>
        <v>11.6158940397351</v>
      </c>
      <c r="BZ30" s="14">
        <f t="shared" si="10"/>
        <v>11.464052287581699</v>
      </c>
      <c r="CA30" s="14">
        <f t="shared" si="10"/>
        <v>11.316129032258065</v>
      </c>
      <c r="CB30" s="14">
        <f t="shared" si="10"/>
        <v>11.171974522292993</v>
      </c>
      <c r="CC30" s="14">
        <f t="shared" si="10"/>
        <v>11.031446540880504</v>
      </c>
      <c r="CD30" s="14">
        <f t="shared" si="10"/>
        <v>10.894409937888199</v>
      </c>
      <c r="CE30" s="14">
        <f t="shared" si="10"/>
        <v>10.760736196319018</v>
      </c>
      <c r="CF30" s="14">
        <f t="shared" si="10"/>
        <v>10.630303030303031</v>
      </c>
      <c r="CG30" s="14">
        <f t="shared" si="10"/>
        <v>10.502994011976048</v>
      </c>
      <c r="CH30" s="14">
        <f t="shared" si="10"/>
        <v>10.378698224852071</v>
      </c>
      <c r="CI30" s="14">
        <f t="shared" si="10"/>
        <v>10.257309941520468</v>
      </c>
      <c r="CJ30" s="14">
        <f t="shared" ref="CJ30" si="11">$G7/CJ$28</f>
        <v>10.138728323699421</v>
      </c>
    </row>
    <row r="31" spans="1:88" x14ac:dyDescent="0.35">
      <c r="A31" s="5" t="str">
        <f t="shared" si="7"/>
        <v>SV - Sosialistisk Venstreparti</v>
      </c>
      <c r="B31" s="14">
        <f t="shared" si="8"/>
        <v>1170</v>
      </c>
      <c r="C31" s="14">
        <f t="shared" si="4"/>
        <v>546</v>
      </c>
      <c r="D31" s="14">
        <f t="shared" si="4"/>
        <v>327.60000000000002</v>
      </c>
      <c r="E31" s="14">
        <f t="shared" si="4"/>
        <v>234</v>
      </c>
      <c r="F31" s="14">
        <f t="shared" si="4"/>
        <v>182</v>
      </c>
      <c r="G31" s="14">
        <f t="shared" si="4"/>
        <v>148.90909090909091</v>
      </c>
      <c r="H31" s="14">
        <f t="shared" si="4"/>
        <v>126</v>
      </c>
      <c r="I31" s="14">
        <f t="shared" si="4"/>
        <v>109.2</v>
      </c>
      <c r="J31" s="14">
        <f t="shared" si="4"/>
        <v>96.352941176470594</v>
      </c>
      <c r="K31" s="14">
        <f t="shared" si="4"/>
        <v>86.21052631578948</v>
      </c>
      <c r="L31" s="14">
        <f t="shared" si="4"/>
        <v>78</v>
      </c>
      <c r="M31" s="14">
        <f t="shared" si="4"/>
        <v>71.217391304347828</v>
      </c>
      <c r="N31" s="14">
        <f t="shared" si="4"/>
        <v>65.52</v>
      </c>
      <c r="O31" s="14">
        <f t="shared" si="4"/>
        <v>60.666666666666664</v>
      </c>
      <c r="P31" s="14">
        <f t="shared" si="4"/>
        <v>56.482758620689658</v>
      </c>
      <c r="Q31" s="14">
        <f t="shared" si="4"/>
        <v>52.838709677419352</v>
      </c>
      <c r="R31" s="14">
        <f t="shared" si="4"/>
        <v>49.636363636363633</v>
      </c>
      <c r="S31" s="14">
        <f t="shared" si="4"/>
        <v>46.8</v>
      </c>
      <c r="T31" s="14">
        <f t="shared" si="4"/>
        <v>44.270270270270274</v>
      </c>
      <c r="U31" s="14">
        <f t="shared" si="4"/>
        <v>42</v>
      </c>
      <c r="V31" s="14">
        <f t="shared" si="9"/>
        <v>39.951219512195124</v>
      </c>
      <c r="W31" s="14">
        <f t="shared" si="9"/>
        <v>38.093023255813954</v>
      </c>
      <c r="X31" s="14">
        <f t="shared" ref="X31:CI31" si="12">$G8/X$28</f>
        <v>36.4</v>
      </c>
      <c r="Y31" s="14">
        <f t="shared" si="12"/>
        <v>34.851063829787236</v>
      </c>
      <c r="Z31" s="14">
        <f t="shared" si="12"/>
        <v>33.428571428571431</v>
      </c>
      <c r="AA31" s="14">
        <f t="shared" si="12"/>
        <v>32.117647058823529</v>
      </c>
      <c r="AB31" s="14">
        <f t="shared" si="12"/>
        <v>30.90566037735849</v>
      </c>
      <c r="AC31" s="14">
        <f t="shared" si="12"/>
        <v>29.781818181818181</v>
      </c>
      <c r="AD31" s="14">
        <f t="shared" si="12"/>
        <v>28.736842105263158</v>
      </c>
      <c r="AE31" s="14">
        <f t="shared" si="12"/>
        <v>27.762711864406779</v>
      </c>
      <c r="AF31" s="14">
        <f t="shared" si="12"/>
        <v>26.852459016393443</v>
      </c>
      <c r="AG31" s="14">
        <f t="shared" si="12"/>
        <v>26</v>
      </c>
      <c r="AH31" s="14">
        <f t="shared" si="12"/>
        <v>25.2</v>
      </c>
      <c r="AI31" s="14">
        <f t="shared" si="12"/>
        <v>24.447761194029852</v>
      </c>
      <c r="AJ31" s="14">
        <f t="shared" si="12"/>
        <v>23.739130434782609</v>
      </c>
      <c r="AK31" s="14">
        <f t="shared" si="12"/>
        <v>23.070422535211268</v>
      </c>
      <c r="AL31" s="14">
        <f t="shared" si="12"/>
        <v>22.438356164383563</v>
      </c>
      <c r="AM31" s="14">
        <f t="shared" si="12"/>
        <v>21.84</v>
      </c>
      <c r="AN31" s="14">
        <f t="shared" si="12"/>
        <v>21.272727272727273</v>
      </c>
      <c r="AO31" s="14">
        <f t="shared" si="12"/>
        <v>20.734177215189874</v>
      </c>
      <c r="AP31" s="14">
        <f t="shared" si="12"/>
        <v>20.222222222222221</v>
      </c>
      <c r="AQ31" s="14">
        <f t="shared" si="12"/>
        <v>19.734939759036145</v>
      </c>
      <c r="AR31" s="14">
        <f t="shared" si="12"/>
        <v>19.270588235294117</v>
      </c>
      <c r="AS31" s="14">
        <f t="shared" si="12"/>
        <v>18.827586206896552</v>
      </c>
      <c r="AT31" s="14">
        <f t="shared" si="12"/>
        <v>18.40449438202247</v>
      </c>
      <c r="AU31" s="14">
        <f t="shared" si="12"/>
        <v>18</v>
      </c>
      <c r="AV31" s="14">
        <f t="shared" si="12"/>
        <v>17.612903225806452</v>
      </c>
      <c r="AW31" s="14">
        <f t="shared" si="12"/>
        <v>17.242105263157896</v>
      </c>
      <c r="AX31" s="14">
        <f t="shared" si="12"/>
        <v>16.88659793814433</v>
      </c>
      <c r="AY31" s="14">
        <f t="shared" si="12"/>
        <v>16.545454545454547</v>
      </c>
      <c r="AZ31" s="14">
        <f t="shared" si="12"/>
        <v>16.217821782178216</v>
      </c>
      <c r="BA31" s="14">
        <f t="shared" si="12"/>
        <v>15.902912621359222</v>
      </c>
      <c r="BB31" s="14">
        <f t="shared" si="12"/>
        <v>15.6</v>
      </c>
      <c r="BC31" s="14">
        <f t="shared" si="12"/>
        <v>15.308411214953271</v>
      </c>
      <c r="BD31" s="14">
        <f t="shared" si="12"/>
        <v>15.027522935779816</v>
      </c>
      <c r="BE31" s="14">
        <f t="shared" si="12"/>
        <v>14.756756756756756</v>
      </c>
      <c r="BF31" s="14">
        <f t="shared" si="12"/>
        <v>14.495575221238939</v>
      </c>
      <c r="BG31" s="14">
        <f t="shared" si="12"/>
        <v>14.243478260869566</v>
      </c>
      <c r="BH31" s="14">
        <f t="shared" si="12"/>
        <v>14</v>
      </c>
      <c r="BI31" s="14">
        <f t="shared" si="12"/>
        <v>13.764705882352942</v>
      </c>
      <c r="BJ31" s="14">
        <f t="shared" si="12"/>
        <v>13.537190082644628</v>
      </c>
      <c r="BK31" s="14">
        <f t="shared" si="12"/>
        <v>13.317073170731707</v>
      </c>
      <c r="BL31" s="14">
        <f t="shared" si="12"/>
        <v>13.103999999999999</v>
      </c>
      <c r="BM31" s="14">
        <f t="shared" si="12"/>
        <v>12.897637795275591</v>
      </c>
      <c r="BN31" s="14">
        <f t="shared" si="12"/>
        <v>12.697674418604651</v>
      </c>
      <c r="BO31" s="14">
        <f t="shared" si="12"/>
        <v>12.503816793893129</v>
      </c>
      <c r="BP31" s="14">
        <f t="shared" si="12"/>
        <v>12.315789473684211</v>
      </c>
      <c r="BQ31" s="14">
        <f t="shared" si="12"/>
        <v>12.133333333333333</v>
      </c>
      <c r="BR31" s="14">
        <f t="shared" si="12"/>
        <v>11.956204379562044</v>
      </c>
      <c r="BS31" s="14">
        <f t="shared" si="12"/>
        <v>11.784172661870503</v>
      </c>
      <c r="BT31" s="14">
        <f t="shared" si="12"/>
        <v>11.617021276595745</v>
      </c>
      <c r="BU31" s="14">
        <f t="shared" si="12"/>
        <v>11.454545454545455</v>
      </c>
      <c r="BV31" s="14">
        <f t="shared" si="12"/>
        <v>11.296551724137931</v>
      </c>
      <c r="BW31" s="14">
        <f t="shared" si="12"/>
        <v>11.142857142857142</v>
      </c>
      <c r="BX31" s="14">
        <f t="shared" si="12"/>
        <v>10.993288590604028</v>
      </c>
      <c r="BY31" s="14">
        <f t="shared" si="12"/>
        <v>10.847682119205299</v>
      </c>
      <c r="BZ31" s="14">
        <f t="shared" si="12"/>
        <v>10.705882352941176</v>
      </c>
      <c r="CA31" s="14">
        <f t="shared" si="12"/>
        <v>10.567741935483872</v>
      </c>
      <c r="CB31" s="14">
        <f t="shared" si="12"/>
        <v>10.433121019108281</v>
      </c>
      <c r="CC31" s="14">
        <f t="shared" si="12"/>
        <v>10.30188679245283</v>
      </c>
      <c r="CD31" s="14">
        <f t="shared" si="12"/>
        <v>10.173913043478262</v>
      </c>
      <c r="CE31" s="14">
        <f t="shared" si="12"/>
        <v>10.049079754601227</v>
      </c>
      <c r="CF31" s="14">
        <f t="shared" si="12"/>
        <v>9.9272727272727277</v>
      </c>
      <c r="CG31" s="14">
        <f t="shared" si="12"/>
        <v>9.8083832335329344</v>
      </c>
      <c r="CH31" s="14">
        <f t="shared" si="12"/>
        <v>9.6923076923076916</v>
      </c>
      <c r="CI31" s="14">
        <f t="shared" si="12"/>
        <v>9.5789473684210531</v>
      </c>
      <c r="CJ31" s="14">
        <f t="shared" ref="CJ31" si="13">$G8/CJ$28</f>
        <v>9.4682080924855487</v>
      </c>
    </row>
    <row r="32" spans="1:88" x14ac:dyDescent="0.35">
      <c r="A32" s="5" t="str">
        <f t="shared" si="7"/>
        <v>Arbeiderpartiet</v>
      </c>
      <c r="B32" s="14">
        <f t="shared" si="8"/>
        <v>7347.8571428571431</v>
      </c>
      <c r="C32" s="14">
        <f t="shared" si="4"/>
        <v>3429</v>
      </c>
      <c r="D32" s="14">
        <f t="shared" si="4"/>
        <v>2057.4</v>
      </c>
      <c r="E32" s="14">
        <f t="shared" si="4"/>
        <v>1469.5714285714287</v>
      </c>
      <c r="F32" s="14">
        <f t="shared" si="4"/>
        <v>1143</v>
      </c>
      <c r="G32" s="14">
        <f t="shared" si="4"/>
        <v>935.18181818181813</v>
      </c>
      <c r="H32" s="14">
        <f t="shared" si="4"/>
        <v>791.30769230769226</v>
      </c>
      <c r="I32" s="14">
        <f t="shared" si="4"/>
        <v>685.8</v>
      </c>
      <c r="J32" s="14">
        <f t="shared" si="4"/>
        <v>605.11764705882354</v>
      </c>
      <c r="K32" s="14">
        <f t="shared" si="4"/>
        <v>541.42105263157896</v>
      </c>
      <c r="L32" s="14">
        <f t="shared" si="4"/>
        <v>489.85714285714283</v>
      </c>
      <c r="M32" s="14">
        <f t="shared" si="4"/>
        <v>447.26086956521738</v>
      </c>
      <c r="N32" s="14">
        <f t="shared" si="4"/>
        <v>411.48</v>
      </c>
      <c r="O32" s="14">
        <f t="shared" si="4"/>
        <v>381</v>
      </c>
      <c r="P32" s="14">
        <f t="shared" si="4"/>
        <v>354.72413793103448</v>
      </c>
      <c r="Q32" s="14">
        <f t="shared" si="4"/>
        <v>331.83870967741933</v>
      </c>
      <c r="R32" s="14">
        <f t="shared" si="4"/>
        <v>311.72727272727275</v>
      </c>
      <c r="S32" s="14">
        <f t="shared" si="4"/>
        <v>293.91428571428571</v>
      </c>
      <c r="T32" s="14">
        <f t="shared" si="4"/>
        <v>278.02702702702703</v>
      </c>
      <c r="U32" s="14">
        <f t="shared" si="4"/>
        <v>263.76923076923077</v>
      </c>
      <c r="V32" s="14">
        <f t="shared" si="9"/>
        <v>250.90243902439025</v>
      </c>
      <c r="W32" s="14">
        <f t="shared" si="9"/>
        <v>239.23255813953489</v>
      </c>
      <c r="X32" s="14">
        <f t="shared" ref="X32:CI32" si="14">$G9/X$28</f>
        <v>228.6</v>
      </c>
      <c r="Y32" s="14">
        <f t="shared" si="14"/>
        <v>218.87234042553192</v>
      </c>
      <c r="Z32" s="14">
        <f t="shared" si="14"/>
        <v>209.9387755102041</v>
      </c>
      <c r="AA32" s="14">
        <f t="shared" si="14"/>
        <v>201.70588235294119</v>
      </c>
      <c r="AB32" s="14">
        <f t="shared" si="14"/>
        <v>194.09433962264151</v>
      </c>
      <c r="AC32" s="14">
        <f t="shared" si="14"/>
        <v>187.03636363636363</v>
      </c>
      <c r="AD32" s="14">
        <f t="shared" si="14"/>
        <v>180.47368421052633</v>
      </c>
      <c r="AE32" s="14">
        <f t="shared" si="14"/>
        <v>174.35593220338984</v>
      </c>
      <c r="AF32" s="14">
        <f t="shared" si="14"/>
        <v>168.63934426229508</v>
      </c>
      <c r="AG32" s="14">
        <f t="shared" si="14"/>
        <v>163.28571428571428</v>
      </c>
      <c r="AH32" s="14">
        <f t="shared" si="14"/>
        <v>158.26153846153846</v>
      </c>
      <c r="AI32" s="14">
        <f t="shared" si="14"/>
        <v>153.53731343283582</v>
      </c>
      <c r="AJ32" s="14">
        <f t="shared" si="14"/>
        <v>149.08695652173913</v>
      </c>
      <c r="AK32" s="14">
        <f t="shared" si="14"/>
        <v>144.88732394366198</v>
      </c>
      <c r="AL32" s="14">
        <f t="shared" si="14"/>
        <v>140.91780821917808</v>
      </c>
      <c r="AM32" s="14">
        <f t="shared" si="14"/>
        <v>137.16</v>
      </c>
      <c r="AN32" s="14">
        <f t="shared" si="14"/>
        <v>133.59740259740261</v>
      </c>
      <c r="AO32" s="14">
        <f t="shared" si="14"/>
        <v>130.21518987341773</v>
      </c>
      <c r="AP32" s="14">
        <f t="shared" si="14"/>
        <v>127</v>
      </c>
      <c r="AQ32" s="14">
        <f t="shared" si="14"/>
        <v>123.93975903614458</v>
      </c>
      <c r="AR32" s="14">
        <f t="shared" si="14"/>
        <v>121.02352941176471</v>
      </c>
      <c r="AS32" s="14">
        <f t="shared" si="14"/>
        <v>118.24137931034483</v>
      </c>
      <c r="AT32" s="14">
        <f t="shared" si="14"/>
        <v>115.58426966292134</v>
      </c>
      <c r="AU32" s="14">
        <f t="shared" si="14"/>
        <v>113.04395604395604</v>
      </c>
      <c r="AV32" s="14">
        <f t="shared" si="14"/>
        <v>110.61290322580645</v>
      </c>
      <c r="AW32" s="14">
        <f t="shared" si="14"/>
        <v>108.28421052631579</v>
      </c>
      <c r="AX32" s="14">
        <f t="shared" si="14"/>
        <v>106.05154639175258</v>
      </c>
      <c r="AY32" s="14">
        <f t="shared" si="14"/>
        <v>103.90909090909091</v>
      </c>
      <c r="AZ32" s="14">
        <f t="shared" si="14"/>
        <v>101.85148514851485</v>
      </c>
      <c r="BA32" s="14">
        <f t="shared" si="14"/>
        <v>99.873786407766985</v>
      </c>
      <c r="BB32" s="14">
        <f t="shared" si="14"/>
        <v>97.971428571428575</v>
      </c>
      <c r="BC32" s="14">
        <f t="shared" si="14"/>
        <v>96.140186915887853</v>
      </c>
      <c r="BD32" s="14">
        <f t="shared" si="14"/>
        <v>94.376146788990823</v>
      </c>
      <c r="BE32" s="14">
        <f t="shared" si="14"/>
        <v>92.675675675675677</v>
      </c>
      <c r="BF32" s="14">
        <f t="shared" si="14"/>
        <v>91.035398230088489</v>
      </c>
      <c r="BG32" s="14">
        <f t="shared" si="14"/>
        <v>89.452173913043481</v>
      </c>
      <c r="BH32" s="14">
        <f t="shared" si="14"/>
        <v>87.92307692307692</v>
      </c>
      <c r="BI32" s="14">
        <f t="shared" si="14"/>
        <v>86.445378151260499</v>
      </c>
      <c r="BJ32" s="14">
        <f t="shared" si="14"/>
        <v>85.016528925619838</v>
      </c>
      <c r="BK32" s="14">
        <f t="shared" si="14"/>
        <v>83.634146341463421</v>
      </c>
      <c r="BL32" s="14">
        <f t="shared" si="14"/>
        <v>82.296000000000006</v>
      </c>
      <c r="BM32" s="14">
        <f t="shared" si="14"/>
        <v>81</v>
      </c>
      <c r="BN32" s="14">
        <f t="shared" si="14"/>
        <v>79.744186046511629</v>
      </c>
      <c r="BO32" s="14">
        <f t="shared" si="14"/>
        <v>78.526717557251914</v>
      </c>
      <c r="BP32" s="14">
        <f t="shared" si="14"/>
        <v>77.345864661654133</v>
      </c>
      <c r="BQ32" s="14">
        <f t="shared" si="14"/>
        <v>76.2</v>
      </c>
      <c r="BR32" s="14">
        <f t="shared" si="14"/>
        <v>75.087591240875909</v>
      </c>
      <c r="BS32" s="14">
        <f t="shared" si="14"/>
        <v>74.007194244604321</v>
      </c>
      <c r="BT32" s="14">
        <f t="shared" si="14"/>
        <v>72.957446808510639</v>
      </c>
      <c r="BU32" s="14">
        <f t="shared" si="14"/>
        <v>71.937062937062933</v>
      </c>
      <c r="BV32" s="14">
        <f t="shared" si="14"/>
        <v>70.944827586206898</v>
      </c>
      <c r="BW32" s="14">
        <f t="shared" si="14"/>
        <v>69.979591836734699</v>
      </c>
      <c r="BX32" s="14">
        <f t="shared" si="14"/>
        <v>69.040268456375841</v>
      </c>
      <c r="BY32" s="14">
        <f t="shared" si="14"/>
        <v>68.125827814569533</v>
      </c>
      <c r="BZ32" s="14">
        <f t="shared" si="14"/>
        <v>67.235294117647058</v>
      </c>
      <c r="CA32" s="14">
        <f t="shared" si="14"/>
        <v>66.367741935483878</v>
      </c>
      <c r="CB32" s="14">
        <f t="shared" si="14"/>
        <v>65.522292993630572</v>
      </c>
      <c r="CC32" s="14">
        <f t="shared" si="14"/>
        <v>64.698113207547166</v>
      </c>
      <c r="CD32" s="14">
        <f t="shared" si="14"/>
        <v>63.894409937888199</v>
      </c>
      <c r="CE32" s="14">
        <f t="shared" si="14"/>
        <v>63.110429447852759</v>
      </c>
      <c r="CF32" s="14">
        <f t="shared" si="14"/>
        <v>62.345454545454544</v>
      </c>
      <c r="CG32" s="14">
        <f t="shared" si="14"/>
        <v>61.598802395209582</v>
      </c>
      <c r="CH32" s="14">
        <f t="shared" si="14"/>
        <v>60.869822485207102</v>
      </c>
      <c r="CI32" s="14">
        <f t="shared" si="14"/>
        <v>60.157894736842103</v>
      </c>
      <c r="CJ32" s="14">
        <f t="shared" ref="CJ32" si="15">$G9/CJ$28</f>
        <v>59.462427745664741</v>
      </c>
    </row>
    <row r="33" spans="1:88" x14ac:dyDescent="0.35">
      <c r="A33" s="5" t="str">
        <f t="shared" si="7"/>
        <v>Venstre</v>
      </c>
      <c r="B33" s="14">
        <f t="shared" si="8"/>
        <v>6160.7142857142862</v>
      </c>
      <c r="C33" s="14">
        <f t="shared" si="4"/>
        <v>2875</v>
      </c>
      <c r="D33" s="14">
        <f t="shared" si="4"/>
        <v>1725</v>
      </c>
      <c r="E33" s="14">
        <f t="shared" si="4"/>
        <v>1232.1428571428571</v>
      </c>
      <c r="F33" s="14">
        <f t="shared" si="4"/>
        <v>958.33333333333337</v>
      </c>
      <c r="G33" s="14">
        <f t="shared" si="4"/>
        <v>784.09090909090912</v>
      </c>
      <c r="H33" s="14">
        <f t="shared" si="4"/>
        <v>663.46153846153845</v>
      </c>
      <c r="I33" s="14">
        <f t="shared" si="4"/>
        <v>575</v>
      </c>
      <c r="J33" s="14">
        <f t="shared" si="4"/>
        <v>507.35294117647061</v>
      </c>
      <c r="K33" s="14">
        <f t="shared" si="4"/>
        <v>453.94736842105266</v>
      </c>
      <c r="L33" s="14">
        <f t="shared" si="4"/>
        <v>410.71428571428572</v>
      </c>
      <c r="M33" s="14">
        <f t="shared" si="4"/>
        <v>375</v>
      </c>
      <c r="N33" s="14">
        <f t="shared" si="4"/>
        <v>345</v>
      </c>
      <c r="O33" s="14">
        <f t="shared" si="4"/>
        <v>319.44444444444446</v>
      </c>
      <c r="P33" s="14">
        <f t="shared" si="4"/>
        <v>297.41379310344826</v>
      </c>
      <c r="Q33" s="14">
        <f t="shared" si="4"/>
        <v>278.22580645161293</v>
      </c>
      <c r="R33" s="14">
        <f t="shared" si="4"/>
        <v>261.36363636363637</v>
      </c>
      <c r="S33" s="14">
        <f t="shared" si="4"/>
        <v>246.42857142857142</v>
      </c>
      <c r="T33" s="14">
        <f t="shared" si="4"/>
        <v>233.1081081081081</v>
      </c>
      <c r="U33" s="14">
        <f t="shared" si="4"/>
        <v>221.15384615384616</v>
      </c>
      <c r="V33" s="14">
        <f t="shared" si="9"/>
        <v>210.36585365853659</v>
      </c>
      <c r="W33" s="14">
        <f t="shared" si="9"/>
        <v>200.58139534883722</v>
      </c>
      <c r="X33" s="14">
        <f t="shared" ref="X33:CI33" si="16">$G10/X$28</f>
        <v>191.66666666666666</v>
      </c>
      <c r="Y33" s="14">
        <f t="shared" si="16"/>
        <v>183.51063829787233</v>
      </c>
      <c r="Z33" s="14">
        <f t="shared" si="16"/>
        <v>176.0204081632653</v>
      </c>
      <c r="AA33" s="14">
        <f t="shared" si="16"/>
        <v>169.11764705882354</v>
      </c>
      <c r="AB33" s="14">
        <f t="shared" si="16"/>
        <v>162.73584905660377</v>
      </c>
      <c r="AC33" s="14">
        <f t="shared" si="16"/>
        <v>156.81818181818181</v>
      </c>
      <c r="AD33" s="14">
        <f t="shared" si="16"/>
        <v>151.31578947368422</v>
      </c>
      <c r="AE33" s="14">
        <f t="shared" si="16"/>
        <v>146.18644067796609</v>
      </c>
      <c r="AF33" s="14">
        <f t="shared" si="16"/>
        <v>141.39344262295083</v>
      </c>
      <c r="AG33" s="14">
        <f t="shared" si="16"/>
        <v>136.9047619047619</v>
      </c>
      <c r="AH33" s="14">
        <f t="shared" si="16"/>
        <v>132.69230769230768</v>
      </c>
      <c r="AI33" s="14">
        <f t="shared" si="16"/>
        <v>128.73134328358208</v>
      </c>
      <c r="AJ33" s="14">
        <f t="shared" si="16"/>
        <v>125</v>
      </c>
      <c r="AK33" s="14">
        <f t="shared" si="16"/>
        <v>121.47887323943662</v>
      </c>
      <c r="AL33" s="14">
        <f t="shared" si="16"/>
        <v>118.15068493150685</v>
      </c>
      <c r="AM33" s="14">
        <f t="shared" si="16"/>
        <v>115</v>
      </c>
      <c r="AN33" s="14">
        <f t="shared" si="16"/>
        <v>112.01298701298701</v>
      </c>
      <c r="AO33" s="14">
        <f t="shared" si="16"/>
        <v>109.17721518987342</v>
      </c>
      <c r="AP33" s="14">
        <f t="shared" si="16"/>
        <v>106.48148148148148</v>
      </c>
      <c r="AQ33" s="14">
        <f t="shared" si="16"/>
        <v>103.91566265060241</v>
      </c>
      <c r="AR33" s="14">
        <f t="shared" si="16"/>
        <v>101.47058823529412</v>
      </c>
      <c r="AS33" s="14">
        <f t="shared" si="16"/>
        <v>99.137931034482762</v>
      </c>
      <c r="AT33" s="14">
        <f t="shared" si="16"/>
        <v>96.910112359550567</v>
      </c>
      <c r="AU33" s="14">
        <f t="shared" si="16"/>
        <v>94.780219780219781</v>
      </c>
      <c r="AV33" s="14">
        <f t="shared" si="16"/>
        <v>92.741935483870961</v>
      </c>
      <c r="AW33" s="14">
        <f t="shared" si="16"/>
        <v>90.78947368421052</v>
      </c>
      <c r="AX33" s="14">
        <f t="shared" si="16"/>
        <v>88.917525773195877</v>
      </c>
      <c r="AY33" s="14">
        <f t="shared" si="16"/>
        <v>87.121212121212125</v>
      </c>
      <c r="AZ33" s="14">
        <f t="shared" si="16"/>
        <v>85.396039603960389</v>
      </c>
      <c r="BA33" s="14">
        <f t="shared" si="16"/>
        <v>83.737864077669897</v>
      </c>
      <c r="BB33" s="14">
        <f t="shared" si="16"/>
        <v>82.142857142857139</v>
      </c>
      <c r="BC33" s="14">
        <f t="shared" si="16"/>
        <v>80.607476635514018</v>
      </c>
      <c r="BD33" s="14">
        <f t="shared" si="16"/>
        <v>79.128440366972484</v>
      </c>
      <c r="BE33" s="14">
        <f t="shared" si="16"/>
        <v>77.702702702702709</v>
      </c>
      <c r="BF33" s="14">
        <f t="shared" si="16"/>
        <v>76.327433628318587</v>
      </c>
      <c r="BG33" s="14">
        <f t="shared" si="16"/>
        <v>75</v>
      </c>
      <c r="BH33" s="14">
        <f t="shared" si="16"/>
        <v>73.717948717948715</v>
      </c>
      <c r="BI33" s="14">
        <f t="shared" si="16"/>
        <v>72.47899159663865</v>
      </c>
      <c r="BJ33" s="14">
        <f t="shared" si="16"/>
        <v>71.280991735537185</v>
      </c>
      <c r="BK33" s="14">
        <f t="shared" si="16"/>
        <v>70.121951219512198</v>
      </c>
      <c r="BL33" s="14">
        <f t="shared" si="16"/>
        <v>69</v>
      </c>
      <c r="BM33" s="14">
        <f t="shared" si="16"/>
        <v>67.913385826771659</v>
      </c>
      <c r="BN33" s="14">
        <f t="shared" si="16"/>
        <v>66.860465116279073</v>
      </c>
      <c r="BO33" s="14">
        <f t="shared" si="16"/>
        <v>65.839694656488547</v>
      </c>
      <c r="BP33" s="14">
        <f t="shared" si="16"/>
        <v>64.849624060150376</v>
      </c>
      <c r="BQ33" s="14">
        <f t="shared" si="16"/>
        <v>63.888888888888886</v>
      </c>
      <c r="BR33" s="14">
        <f t="shared" si="16"/>
        <v>62.956204379562045</v>
      </c>
      <c r="BS33" s="14">
        <f t="shared" si="16"/>
        <v>62.050359712230218</v>
      </c>
      <c r="BT33" s="14">
        <f t="shared" si="16"/>
        <v>61.170212765957444</v>
      </c>
      <c r="BU33" s="14">
        <f t="shared" si="16"/>
        <v>60.314685314685313</v>
      </c>
      <c r="BV33" s="14">
        <f t="shared" si="16"/>
        <v>59.482758620689658</v>
      </c>
      <c r="BW33" s="14">
        <f t="shared" si="16"/>
        <v>58.673469387755105</v>
      </c>
      <c r="BX33" s="14">
        <f t="shared" si="16"/>
        <v>57.885906040268459</v>
      </c>
      <c r="BY33" s="14">
        <f t="shared" si="16"/>
        <v>57.119205298013242</v>
      </c>
      <c r="BZ33" s="14">
        <f t="shared" si="16"/>
        <v>56.372549019607845</v>
      </c>
      <c r="CA33" s="14">
        <f t="shared" si="16"/>
        <v>55.645161290322584</v>
      </c>
      <c r="CB33" s="14">
        <f t="shared" si="16"/>
        <v>54.93630573248408</v>
      </c>
      <c r="CC33" s="14">
        <f t="shared" si="16"/>
        <v>54.245283018867923</v>
      </c>
      <c r="CD33" s="14">
        <f t="shared" si="16"/>
        <v>53.571428571428569</v>
      </c>
      <c r="CE33" s="14">
        <f t="shared" si="16"/>
        <v>52.914110429447852</v>
      </c>
      <c r="CF33" s="14">
        <f t="shared" si="16"/>
        <v>52.272727272727273</v>
      </c>
      <c r="CG33" s="14">
        <f t="shared" si="16"/>
        <v>51.646706586826348</v>
      </c>
      <c r="CH33" s="14">
        <f t="shared" si="16"/>
        <v>51.035502958579883</v>
      </c>
      <c r="CI33" s="14">
        <f t="shared" si="16"/>
        <v>50.438596491228068</v>
      </c>
      <c r="CJ33" s="14">
        <f t="shared" ref="CJ33" si="17">$G10/CJ$28</f>
        <v>49.855491329479769</v>
      </c>
    </row>
    <row r="34" spans="1:88" x14ac:dyDescent="0.35">
      <c r="A34" s="5" t="str">
        <f t="shared" si="7"/>
        <v>Høyre</v>
      </c>
      <c r="B34" s="14">
        <f t="shared" si="8"/>
        <v>4612.1428571428578</v>
      </c>
      <c r="C34" s="14">
        <f t="shared" si="4"/>
        <v>2152.3333333333335</v>
      </c>
      <c r="D34" s="14">
        <f t="shared" si="4"/>
        <v>1291.4000000000001</v>
      </c>
      <c r="E34" s="14">
        <f t="shared" si="4"/>
        <v>922.42857142857144</v>
      </c>
      <c r="F34" s="14">
        <f t="shared" si="4"/>
        <v>717.44444444444446</v>
      </c>
      <c r="G34" s="14">
        <f t="shared" si="4"/>
        <v>587</v>
      </c>
      <c r="H34" s="14">
        <f t="shared" si="4"/>
        <v>496.69230769230768</v>
      </c>
      <c r="I34" s="14">
        <f t="shared" si="4"/>
        <v>430.46666666666664</v>
      </c>
      <c r="J34" s="14">
        <f t="shared" si="4"/>
        <v>379.8235294117647</v>
      </c>
      <c r="K34" s="14">
        <f t="shared" si="4"/>
        <v>339.84210526315792</v>
      </c>
      <c r="L34" s="14">
        <f t="shared" si="4"/>
        <v>307.47619047619048</v>
      </c>
      <c r="M34" s="14">
        <f t="shared" si="4"/>
        <v>280.73913043478262</v>
      </c>
      <c r="N34" s="14">
        <f t="shared" si="4"/>
        <v>258.27999999999997</v>
      </c>
      <c r="O34" s="14">
        <f t="shared" si="4"/>
        <v>239.14814814814815</v>
      </c>
      <c r="P34" s="14">
        <f t="shared" si="4"/>
        <v>222.65517241379311</v>
      </c>
      <c r="Q34" s="14">
        <f t="shared" si="4"/>
        <v>208.29032258064515</v>
      </c>
      <c r="R34" s="14">
        <f t="shared" si="4"/>
        <v>195.66666666666666</v>
      </c>
      <c r="S34" s="14">
        <f t="shared" si="4"/>
        <v>184.48571428571429</v>
      </c>
      <c r="T34" s="14">
        <f t="shared" si="4"/>
        <v>174.51351351351352</v>
      </c>
      <c r="U34" s="14">
        <f t="shared" si="4"/>
        <v>165.56410256410257</v>
      </c>
      <c r="V34" s="14">
        <f t="shared" si="9"/>
        <v>157.48780487804879</v>
      </c>
      <c r="W34" s="14">
        <f t="shared" si="9"/>
        <v>150.16279069767441</v>
      </c>
      <c r="X34" s="14">
        <f t="shared" ref="X34:CI34" si="18">$G11/X$28</f>
        <v>143.48888888888888</v>
      </c>
      <c r="Y34" s="14">
        <f t="shared" si="18"/>
        <v>137.38297872340425</v>
      </c>
      <c r="Z34" s="14">
        <f t="shared" si="18"/>
        <v>131.77551020408163</v>
      </c>
      <c r="AA34" s="14">
        <f t="shared" si="18"/>
        <v>126.6078431372549</v>
      </c>
      <c r="AB34" s="14">
        <f t="shared" si="18"/>
        <v>121.83018867924528</v>
      </c>
      <c r="AC34" s="14">
        <f t="shared" si="18"/>
        <v>117.4</v>
      </c>
      <c r="AD34" s="14">
        <f t="shared" si="18"/>
        <v>113.28070175438596</v>
      </c>
      <c r="AE34" s="14">
        <f t="shared" si="18"/>
        <v>109.44067796610169</v>
      </c>
      <c r="AF34" s="14">
        <f t="shared" si="18"/>
        <v>105.85245901639344</v>
      </c>
      <c r="AG34" s="14">
        <f t="shared" si="18"/>
        <v>102.49206349206349</v>
      </c>
      <c r="AH34" s="14">
        <f t="shared" si="18"/>
        <v>99.338461538461544</v>
      </c>
      <c r="AI34" s="14">
        <f t="shared" si="18"/>
        <v>96.373134328358205</v>
      </c>
      <c r="AJ34" s="14">
        <f t="shared" si="18"/>
        <v>93.579710144927532</v>
      </c>
      <c r="AK34" s="14">
        <f t="shared" si="18"/>
        <v>90.943661971830991</v>
      </c>
      <c r="AL34" s="14">
        <f t="shared" si="18"/>
        <v>88.452054794520549</v>
      </c>
      <c r="AM34" s="14">
        <f t="shared" si="18"/>
        <v>86.093333333333334</v>
      </c>
      <c r="AN34" s="14">
        <f t="shared" si="18"/>
        <v>83.857142857142861</v>
      </c>
      <c r="AO34" s="14">
        <f t="shared" si="18"/>
        <v>81.734177215189874</v>
      </c>
      <c r="AP34" s="14">
        <f t="shared" si="18"/>
        <v>79.716049382716051</v>
      </c>
      <c r="AQ34" s="14">
        <f t="shared" si="18"/>
        <v>77.795180722891573</v>
      </c>
      <c r="AR34" s="14">
        <f t="shared" si="18"/>
        <v>75.964705882352945</v>
      </c>
      <c r="AS34" s="14">
        <f t="shared" si="18"/>
        <v>74.218390804597703</v>
      </c>
      <c r="AT34" s="14">
        <f t="shared" si="18"/>
        <v>72.550561797752806</v>
      </c>
      <c r="AU34" s="14">
        <f t="shared" si="18"/>
        <v>70.956043956043956</v>
      </c>
      <c r="AV34" s="14">
        <f t="shared" si="18"/>
        <v>69.430107526881727</v>
      </c>
      <c r="AW34" s="14">
        <f t="shared" si="18"/>
        <v>67.968421052631584</v>
      </c>
      <c r="AX34" s="14">
        <f t="shared" si="18"/>
        <v>66.567010309278345</v>
      </c>
      <c r="AY34" s="14">
        <f t="shared" si="18"/>
        <v>65.222222222222229</v>
      </c>
      <c r="AZ34" s="14">
        <f t="shared" si="18"/>
        <v>63.930693069306933</v>
      </c>
      <c r="BA34" s="14">
        <f t="shared" si="18"/>
        <v>62.689320388349515</v>
      </c>
      <c r="BB34" s="14">
        <f t="shared" si="18"/>
        <v>61.495238095238093</v>
      </c>
      <c r="BC34" s="14">
        <f t="shared" si="18"/>
        <v>60.345794392523366</v>
      </c>
      <c r="BD34" s="14">
        <f t="shared" si="18"/>
        <v>59.238532110091747</v>
      </c>
      <c r="BE34" s="14">
        <f t="shared" si="18"/>
        <v>58.171171171171174</v>
      </c>
      <c r="BF34" s="14">
        <f t="shared" si="18"/>
        <v>57.141592920353979</v>
      </c>
      <c r="BG34" s="14">
        <f t="shared" si="18"/>
        <v>56.14782608695652</v>
      </c>
      <c r="BH34" s="14">
        <f t="shared" si="18"/>
        <v>55.188034188034187</v>
      </c>
      <c r="BI34" s="14">
        <f t="shared" si="18"/>
        <v>54.260504201680675</v>
      </c>
      <c r="BJ34" s="14">
        <f t="shared" si="18"/>
        <v>53.363636363636367</v>
      </c>
      <c r="BK34" s="14">
        <f t="shared" si="18"/>
        <v>52.49593495934959</v>
      </c>
      <c r="BL34" s="14">
        <f t="shared" si="18"/>
        <v>51.655999999999999</v>
      </c>
      <c r="BM34" s="14">
        <f t="shared" si="18"/>
        <v>50.84251968503937</v>
      </c>
      <c r="BN34" s="14">
        <f t="shared" si="18"/>
        <v>50.054263565891475</v>
      </c>
      <c r="BO34" s="14">
        <f t="shared" si="18"/>
        <v>49.290076335877863</v>
      </c>
      <c r="BP34" s="14">
        <f t="shared" si="18"/>
        <v>48.548872180451127</v>
      </c>
      <c r="BQ34" s="14">
        <f t="shared" si="18"/>
        <v>47.829629629629629</v>
      </c>
      <c r="BR34" s="14">
        <f t="shared" si="18"/>
        <v>47.131386861313871</v>
      </c>
      <c r="BS34" s="14">
        <f t="shared" si="18"/>
        <v>46.453237410071942</v>
      </c>
      <c r="BT34" s="14">
        <f t="shared" si="18"/>
        <v>45.794326241134755</v>
      </c>
      <c r="BU34" s="14">
        <f t="shared" si="18"/>
        <v>45.153846153846153</v>
      </c>
      <c r="BV34" s="14">
        <f t="shared" si="18"/>
        <v>44.531034482758621</v>
      </c>
      <c r="BW34" s="14">
        <f t="shared" si="18"/>
        <v>43.925170068027214</v>
      </c>
      <c r="BX34" s="14">
        <f t="shared" si="18"/>
        <v>43.335570469798661</v>
      </c>
      <c r="BY34" s="14">
        <f t="shared" si="18"/>
        <v>42.76158940397351</v>
      </c>
      <c r="BZ34" s="14">
        <f t="shared" si="18"/>
        <v>42.20261437908497</v>
      </c>
      <c r="CA34" s="14">
        <f t="shared" si="18"/>
        <v>41.658064516129031</v>
      </c>
      <c r="CB34" s="14">
        <f t="shared" si="18"/>
        <v>41.127388535031848</v>
      </c>
      <c r="CC34" s="14">
        <f t="shared" si="18"/>
        <v>40.610062893081761</v>
      </c>
      <c r="CD34" s="14">
        <f t="shared" si="18"/>
        <v>40.105590062111801</v>
      </c>
      <c r="CE34" s="14">
        <f t="shared" si="18"/>
        <v>39.613496932515339</v>
      </c>
      <c r="CF34" s="14">
        <f t="shared" si="18"/>
        <v>39.133333333333333</v>
      </c>
      <c r="CG34" s="14">
        <f t="shared" si="18"/>
        <v>38.664670658682631</v>
      </c>
      <c r="CH34" s="14">
        <f t="shared" si="18"/>
        <v>38.207100591715978</v>
      </c>
      <c r="CI34" s="14">
        <f t="shared" si="18"/>
        <v>37.760233918128655</v>
      </c>
      <c r="CJ34" s="14">
        <f t="shared" ref="CJ34" si="19">$G11/CJ$28</f>
        <v>37.323699421965316</v>
      </c>
    </row>
    <row r="35" spans="1:88" x14ac:dyDescent="0.35">
      <c r="A35" s="5" t="str">
        <f t="shared" si="7"/>
        <v>Industri- og Næringspartiet</v>
      </c>
      <c r="B35" s="14">
        <f t="shared" si="8"/>
        <v>3458.5714285714289</v>
      </c>
      <c r="C35" s="14">
        <f t="shared" si="4"/>
        <v>1614</v>
      </c>
      <c r="D35" s="14">
        <f t="shared" si="4"/>
        <v>968.4</v>
      </c>
      <c r="E35" s="14">
        <f t="shared" si="4"/>
        <v>691.71428571428567</v>
      </c>
      <c r="F35" s="14">
        <f t="shared" si="4"/>
        <v>538</v>
      </c>
      <c r="G35" s="14">
        <f t="shared" si="4"/>
        <v>440.18181818181819</v>
      </c>
      <c r="H35" s="14">
        <f t="shared" si="4"/>
        <v>372.46153846153845</v>
      </c>
      <c r="I35" s="14">
        <f t="shared" si="4"/>
        <v>322.8</v>
      </c>
      <c r="J35" s="14">
        <f t="shared" si="4"/>
        <v>284.8235294117647</v>
      </c>
      <c r="K35" s="14">
        <f t="shared" si="4"/>
        <v>254.84210526315789</v>
      </c>
      <c r="L35" s="14">
        <f t="shared" si="4"/>
        <v>230.57142857142858</v>
      </c>
      <c r="M35" s="14">
        <f t="shared" si="4"/>
        <v>210.52173913043478</v>
      </c>
      <c r="N35" s="14">
        <f t="shared" si="4"/>
        <v>193.68</v>
      </c>
      <c r="O35" s="14">
        <f t="shared" si="4"/>
        <v>179.33333333333334</v>
      </c>
      <c r="P35" s="14">
        <f t="shared" si="4"/>
        <v>166.9655172413793</v>
      </c>
      <c r="Q35" s="14">
        <f t="shared" si="4"/>
        <v>156.19354838709677</v>
      </c>
      <c r="R35" s="14">
        <f t="shared" si="4"/>
        <v>146.72727272727272</v>
      </c>
      <c r="S35" s="14">
        <f t="shared" si="4"/>
        <v>138.34285714285716</v>
      </c>
      <c r="T35" s="14">
        <f t="shared" si="4"/>
        <v>130.86486486486487</v>
      </c>
      <c r="U35" s="14">
        <f t="shared" si="4"/>
        <v>124.15384615384616</v>
      </c>
      <c r="V35" s="14">
        <f t="shared" si="9"/>
        <v>118.09756097560975</v>
      </c>
      <c r="W35" s="14">
        <f t="shared" si="9"/>
        <v>112.6046511627907</v>
      </c>
      <c r="X35" s="14">
        <f t="shared" ref="X35:CI35" si="20">$G12/X$28</f>
        <v>107.6</v>
      </c>
      <c r="Y35" s="14">
        <f t="shared" si="20"/>
        <v>103.02127659574468</v>
      </c>
      <c r="Z35" s="14">
        <f t="shared" si="20"/>
        <v>98.816326530612244</v>
      </c>
      <c r="AA35" s="14">
        <f t="shared" si="20"/>
        <v>94.941176470588232</v>
      </c>
      <c r="AB35" s="14">
        <f t="shared" si="20"/>
        <v>91.35849056603773</v>
      </c>
      <c r="AC35" s="14">
        <f t="shared" si="20"/>
        <v>88.036363636363632</v>
      </c>
      <c r="AD35" s="14">
        <f t="shared" si="20"/>
        <v>84.94736842105263</v>
      </c>
      <c r="AE35" s="14">
        <f t="shared" si="20"/>
        <v>82.067796610169495</v>
      </c>
      <c r="AF35" s="14">
        <f t="shared" si="20"/>
        <v>79.377049180327873</v>
      </c>
      <c r="AG35" s="14">
        <f t="shared" si="20"/>
        <v>76.857142857142861</v>
      </c>
      <c r="AH35" s="14">
        <f t="shared" si="20"/>
        <v>74.492307692307691</v>
      </c>
      <c r="AI35" s="14">
        <f t="shared" si="20"/>
        <v>72.268656716417908</v>
      </c>
      <c r="AJ35" s="14">
        <f t="shared" si="20"/>
        <v>70.173913043478265</v>
      </c>
      <c r="AK35" s="14">
        <f t="shared" si="20"/>
        <v>68.197183098591552</v>
      </c>
      <c r="AL35" s="14">
        <f t="shared" si="20"/>
        <v>66.328767123287676</v>
      </c>
      <c r="AM35" s="14">
        <f t="shared" si="20"/>
        <v>64.56</v>
      </c>
      <c r="AN35" s="14">
        <f t="shared" si="20"/>
        <v>62.883116883116884</v>
      </c>
      <c r="AO35" s="14">
        <f t="shared" si="20"/>
        <v>61.291139240506332</v>
      </c>
      <c r="AP35" s="14">
        <f t="shared" si="20"/>
        <v>59.777777777777779</v>
      </c>
      <c r="AQ35" s="14">
        <f t="shared" si="20"/>
        <v>58.337349397590359</v>
      </c>
      <c r="AR35" s="14">
        <f t="shared" si="20"/>
        <v>56.964705882352938</v>
      </c>
      <c r="AS35" s="14">
        <f t="shared" si="20"/>
        <v>55.655172413793103</v>
      </c>
      <c r="AT35" s="14">
        <f t="shared" si="20"/>
        <v>54.40449438202247</v>
      </c>
      <c r="AU35" s="14">
        <f t="shared" si="20"/>
        <v>53.208791208791212</v>
      </c>
      <c r="AV35" s="14">
        <f t="shared" si="20"/>
        <v>52.064516129032256</v>
      </c>
      <c r="AW35" s="14">
        <f t="shared" si="20"/>
        <v>50.968421052631577</v>
      </c>
      <c r="AX35" s="14">
        <f t="shared" si="20"/>
        <v>49.917525773195877</v>
      </c>
      <c r="AY35" s="14">
        <f t="shared" si="20"/>
        <v>48.909090909090907</v>
      </c>
      <c r="AZ35" s="14">
        <f t="shared" si="20"/>
        <v>47.940594059405939</v>
      </c>
      <c r="BA35" s="14">
        <f t="shared" si="20"/>
        <v>47.009708737864081</v>
      </c>
      <c r="BB35" s="14">
        <f t="shared" si="20"/>
        <v>46.114285714285714</v>
      </c>
      <c r="BC35" s="14">
        <f t="shared" si="20"/>
        <v>45.252336448598129</v>
      </c>
      <c r="BD35" s="14">
        <f t="shared" si="20"/>
        <v>44.422018348623851</v>
      </c>
      <c r="BE35" s="14">
        <f t="shared" si="20"/>
        <v>43.621621621621621</v>
      </c>
      <c r="BF35" s="14">
        <f t="shared" si="20"/>
        <v>42.849557522123895</v>
      </c>
      <c r="BG35" s="14">
        <f t="shared" si="20"/>
        <v>42.104347826086958</v>
      </c>
      <c r="BH35" s="14">
        <f t="shared" si="20"/>
        <v>41.384615384615387</v>
      </c>
      <c r="BI35" s="14">
        <f t="shared" si="20"/>
        <v>40.689075630252098</v>
      </c>
      <c r="BJ35" s="14">
        <f t="shared" si="20"/>
        <v>40.016528925619838</v>
      </c>
      <c r="BK35" s="14">
        <f t="shared" si="20"/>
        <v>39.365853658536587</v>
      </c>
      <c r="BL35" s="14">
        <f t="shared" si="20"/>
        <v>38.735999999999997</v>
      </c>
      <c r="BM35" s="14">
        <f t="shared" si="20"/>
        <v>38.125984251968504</v>
      </c>
      <c r="BN35" s="14">
        <f t="shared" si="20"/>
        <v>37.534883720930232</v>
      </c>
      <c r="BO35" s="14">
        <f t="shared" si="20"/>
        <v>36.961832061068705</v>
      </c>
      <c r="BP35" s="14">
        <f t="shared" si="20"/>
        <v>36.406015037593988</v>
      </c>
      <c r="BQ35" s="14">
        <f t="shared" si="20"/>
        <v>35.866666666666667</v>
      </c>
      <c r="BR35" s="14">
        <f t="shared" si="20"/>
        <v>35.34306569343066</v>
      </c>
      <c r="BS35" s="14">
        <f t="shared" si="20"/>
        <v>34.834532374100718</v>
      </c>
      <c r="BT35" s="14">
        <f t="shared" si="20"/>
        <v>34.340425531914896</v>
      </c>
      <c r="BU35" s="14">
        <f t="shared" si="20"/>
        <v>33.86013986013986</v>
      </c>
      <c r="BV35" s="14">
        <f t="shared" si="20"/>
        <v>33.393103448275859</v>
      </c>
      <c r="BW35" s="14">
        <f t="shared" si="20"/>
        <v>32.938775510204081</v>
      </c>
      <c r="BX35" s="14">
        <f t="shared" si="20"/>
        <v>32.496644295302012</v>
      </c>
      <c r="BY35" s="14">
        <f t="shared" si="20"/>
        <v>32.066225165562912</v>
      </c>
      <c r="BZ35" s="14">
        <f t="shared" si="20"/>
        <v>31.647058823529413</v>
      </c>
      <c r="CA35" s="14">
        <f t="shared" si="20"/>
        <v>31.238709677419354</v>
      </c>
      <c r="CB35" s="14">
        <f t="shared" si="20"/>
        <v>30.840764331210192</v>
      </c>
      <c r="CC35" s="14">
        <f t="shared" si="20"/>
        <v>30.452830188679247</v>
      </c>
      <c r="CD35" s="14">
        <f t="shared" si="20"/>
        <v>30.074534161490682</v>
      </c>
      <c r="CE35" s="14">
        <f t="shared" si="20"/>
        <v>29.70552147239264</v>
      </c>
      <c r="CF35" s="14">
        <f t="shared" si="20"/>
        <v>29.345454545454544</v>
      </c>
      <c r="CG35" s="14">
        <f t="shared" si="20"/>
        <v>28.994011976047904</v>
      </c>
      <c r="CH35" s="14">
        <f t="shared" si="20"/>
        <v>28.650887573964496</v>
      </c>
      <c r="CI35" s="14">
        <f t="shared" si="20"/>
        <v>28.315789473684209</v>
      </c>
      <c r="CJ35" s="14">
        <f t="shared" ref="CJ35" si="21">$G12/CJ$28</f>
        <v>27.98843930635838</v>
      </c>
    </row>
    <row r="36" spans="1:88" x14ac:dyDescent="0.35">
      <c r="A36" s="5" t="str">
        <f t="shared" si="7"/>
        <v>Senterpartiet</v>
      </c>
      <c r="B36" s="14">
        <f t="shared" si="8"/>
        <v>5537.1428571428578</v>
      </c>
      <c r="C36" s="14">
        <f t="shared" si="4"/>
        <v>2584</v>
      </c>
      <c r="D36" s="14">
        <f t="shared" si="4"/>
        <v>1550.4</v>
      </c>
      <c r="E36" s="14">
        <f t="shared" si="4"/>
        <v>1107.4285714285713</v>
      </c>
      <c r="F36" s="14">
        <f t="shared" si="4"/>
        <v>861.33333333333337</v>
      </c>
      <c r="G36" s="14">
        <f t="shared" si="4"/>
        <v>704.72727272727275</v>
      </c>
      <c r="H36" s="14">
        <f t="shared" si="4"/>
        <v>596.30769230769226</v>
      </c>
      <c r="I36" s="14">
        <f t="shared" si="4"/>
        <v>516.79999999999995</v>
      </c>
      <c r="J36" s="14">
        <f t="shared" si="4"/>
        <v>456</v>
      </c>
      <c r="K36" s="14">
        <f t="shared" si="4"/>
        <v>408</v>
      </c>
      <c r="L36" s="14">
        <f t="shared" si="4"/>
        <v>369.14285714285717</v>
      </c>
      <c r="M36" s="14">
        <f t="shared" si="4"/>
        <v>337.04347826086956</v>
      </c>
      <c r="N36" s="14">
        <f t="shared" si="4"/>
        <v>310.08</v>
      </c>
      <c r="O36" s="14">
        <f t="shared" si="4"/>
        <v>287.11111111111109</v>
      </c>
      <c r="P36" s="14">
        <f t="shared" si="4"/>
        <v>267.31034482758622</v>
      </c>
      <c r="Q36" s="14">
        <f t="shared" si="4"/>
        <v>250.06451612903226</v>
      </c>
      <c r="R36" s="14">
        <f t="shared" si="4"/>
        <v>234.90909090909091</v>
      </c>
      <c r="S36" s="14">
        <f t="shared" si="4"/>
        <v>221.48571428571429</v>
      </c>
      <c r="T36" s="14">
        <f t="shared" si="4"/>
        <v>209.51351351351352</v>
      </c>
      <c r="U36" s="14">
        <f t="shared" si="4"/>
        <v>198.76923076923077</v>
      </c>
      <c r="V36" s="14">
        <f t="shared" si="9"/>
        <v>189.07317073170731</v>
      </c>
      <c r="W36" s="14">
        <f t="shared" si="9"/>
        <v>180.27906976744185</v>
      </c>
      <c r="X36" s="14">
        <f t="shared" ref="X36:CI36" si="22">$G13/X$28</f>
        <v>172.26666666666668</v>
      </c>
      <c r="Y36" s="14">
        <f t="shared" si="22"/>
        <v>164.93617021276594</v>
      </c>
      <c r="Z36" s="14">
        <f t="shared" si="22"/>
        <v>158.20408163265307</v>
      </c>
      <c r="AA36" s="14">
        <f t="shared" si="22"/>
        <v>152</v>
      </c>
      <c r="AB36" s="14">
        <f t="shared" si="22"/>
        <v>146.26415094339623</v>
      </c>
      <c r="AC36" s="14">
        <f t="shared" si="22"/>
        <v>140.94545454545454</v>
      </c>
      <c r="AD36" s="14">
        <f t="shared" si="22"/>
        <v>136</v>
      </c>
      <c r="AE36" s="14">
        <f t="shared" si="22"/>
        <v>131.38983050847457</v>
      </c>
      <c r="AF36" s="14">
        <f t="shared" si="22"/>
        <v>127.08196721311475</v>
      </c>
      <c r="AG36" s="14">
        <f t="shared" si="22"/>
        <v>123.04761904761905</v>
      </c>
      <c r="AH36" s="14">
        <f t="shared" si="22"/>
        <v>119.26153846153846</v>
      </c>
      <c r="AI36" s="14">
        <f t="shared" si="22"/>
        <v>115.70149253731343</v>
      </c>
      <c r="AJ36" s="14">
        <f t="shared" si="22"/>
        <v>112.34782608695652</v>
      </c>
      <c r="AK36" s="14">
        <f t="shared" si="22"/>
        <v>109.1830985915493</v>
      </c>
      <c r="AL36" s="14">
        <f t="shared" si="22"/>
        <v>106.1917808219178</v>
      </c>
      <c r="AM36" s="14">
        <f t="shared" si="22"/>
        <v>103.36</v>
      </c>
      <c r="AN36" s="14">
        <f t="shared" si="22"/>
        <v>100.67532467532467</v>
      </c>
      <c r="AO36" s="14">
        <f t="shared" si="22"/>
        <v>98.12658227848101</v>
      </c>
      <c r="AP36" s="14">
        <f t="shared" si="22"/>
        <v>95.703703703703709</v>
      </c>
      <c r="AQ36" s="14">
        <f t="shared" si="22"/>
        <v>93.397590361445779</v>
      </c>
      <c r="AR36" s="14">
        <f t="shared" si="22"/>
        <v>91.2</v>
      </c>
      <c r="AS36" s="14">
        <f t="shared" si="22"/>
        <v>89.103448275862064</v>
      </c>
      <c r="AT36" s="14">
        <f t="shared" si="22"/>
        <v>87.101123595505612</v>
      </c>
      <c r="AU36" s="14">
        <f t="shared" si="22"/>
        <v>85.186813186813183</v>
      </c>
      <c r="AV36" s="14">
        <f t="shared" si="22"/>
        <v>83.354838709677423</v>
      </c>
      <c r="AW36" s="14">
        <f t="shared" si="22"/>
        <v>81.599999999999994</v>
      </c>
      <c r="AX36" s="14">
        <f t="shared" si="22"/>
        <v>79.917525773195877</v>
      </c>
      <c r="AY36" s="14">
        <f t="shared" si="22"/>
        <v>78.303030303030297</v>
      </c>
      <c r="AZ36" s="14">
        <f t="shared" si="22"/>
        <v>76.752475247524757</v>
      </c>
      <c r="BA36" s="14">
        <f t="shared" si="22"/>
        <v>75.262135922330103</v>
      </c>
      <c r="BB36" s="14">
        <f t="shared" si="22"/>
        <v>73.828571428571422</v>
      </c>
      <c r="BC36" s="14">
        <f t="shared" si="22"/>
        <v>72.44859813084112</v>
      </c>
      <c r="BD36" s="14">
        <f t="shared" si="22"/>
        <v>71.11926605504587</v>
      </c>
      <c r="BE36" s="14">
        <f t="shared" si="22"/>
        <v>69.837837837837839</v>
      </c>
      <c r="BF36" s="14">
        <f t="shared" si="22"/>
        <v>68.601769911504419</v>
      </c>
      <c r="BG36" s="14">
        <f t="shared" si="22"/>
        <v>67.408695652173918</v>
      </c>
      <c r="BH36" s="14">
        <f t="shared" si="22"/>
        <v>66.256410256410263</v>
      </c>
      <c r="BI36" s="14">
        <f t="shared" si="22"/>
        <v>65.142857142857139</v>
      </c>
      <c r="BJ36" s="14">
        <f t="shared" si="22"/>
        <v>64.066115702479337</v>
      </c>
      <c r="BK36" s="14">
        <f t="shared" si="22"/>
        <v>63.024390243902438</v>
      </c>
      <c r="BL36" s="14">
        <f t="shared" si="22"/>
        <v>62.015999999999998</v>
      </c>
      <c r="BM36" s="14">
        <f t="shared" si="22"/>
        <v>61.039370078740156</v>
      </c>
      <c r="BN36" s="14">
        <f t="shared" si="22"/>
        <v>60.093023255813954</v>
      </c>
      <c r="BO36" s="14">
        <f t="shared" si="22"/>
        <v>59.175572519083971</v>
      </c>
      <c r="BP36" s="14">
        <f t="shared" si="22"/>
        <v>58.285714285714285</v>
      </c>
      <c r="BQ36" s="14">
        <f t="shared" si="22"/>
        <v>57.422222222222224</v>
      </c>
      <c r="BR36" s="14">
        <f t="shared" si="22"/>
        <v>56.583941605839414</v>
      </c>
      <c r="BS36" s="14">
        <f t="shared" si="22"/>
        <v>55.769784172661872</v>
      </c>
      <c r="BT36" s="14">
        <f t="shared" si="22"/>
        <v>54.978723404255319</v>
      </c>
      <c r="BU36" s="14">
        <f t="shared" si="22"/>
        <v>54.209790209790206</v>
      </c>
      <c r="BV36" s="14">
        <f t="shared" si="22"/>
        <v>53.46206896551724</v>
      </c>
      <c r="BW36" s="14">
        <f t="shared" si="22"/>
        <v>52.734693877551024</v>
      </c>
      <c r="BX36" s="14">
        <f t="shared" si="22"/>
        <v>52.026845637583889</v>
      </c>
      <c r="BY36" s="14">
        <f t="shared" si="22"/>
        <v>51.337748344370858</v>
      </c>
      <c r="BZ36" s="14">
        <f t="shared" si="22"/>
        <v>50.666666666666664</v>
      </c>
      <c r="CA36" s="14">
        <f t="shared" si="22"/>
        <v>50.012903225806454</v>
      </c>
      <c r="CB36" s="14">
        <f t="shared" si="22"/>
        <v>49.375796178343947</v>
      </c>
      <c r="CC36" s="14">
        <f t="shared" si="22"/>
        <v>48.754716981132077</v>
      </c>
      <c r="CD36" s="14">
        <f t="shared" si="22"/>
        <v>48.149068322981364</v>
      </c>
      <c r="CE36" s="14">
        <f t="shared" si="22"/>
        <v>47.558282208588956</v>
      </c>
      <c r="CF36" s="14">
        <f t="shared" si="22"/>
        <v>46.981818181818184</v>
      </c>
      <c r="CG36" s="14">
        <f t="shared" si="22"/>
        <v>46.419161676646709</v>
      </c>
      <c r="CH36" s="14">
        <f t="shared" si="22"/>
        <v>45.869822485207102</v>
      </c>
      <c r="CI36" s="14">
        <f t="shared" si="22"/>
        <v>45.333333333333336</v>
      </c>
      <c r="CJ36" s="14">
        <f t="shared" ref="CJ36" si="23">$G13/CJ$28</f>
        <v>44.809248554913296</v>
      </c>
    </row>
    <row r="37" spans="1:88" x14ac:dyDescent="0.35">
      <c r="A37" s="5" t="str">
        <f t="shared" si="7"/>
        <v/>
      </c>
      <c r="B37" s="14">
        <f t="shared" si="8"/>
        <v>0</v>
      </c>
      <c r="C37" s="14">
        <f t="shared" si="4"/>
        <v>0</v>
      </c>
      <c r="D37" s="14">
        <f t="shared" si="4"/>
        <v>0</v>
      </c>
      <c r="E37" s="14">
        <f t="shared" si="4"/>
        <v>0</v>
      </c>
      <c r="F37" s="14">
        <f t="shared" si="4"/>
        <v>0</v>
      </c>
      <c r="G37" s="14">
        <f t="shared" si="4"/>
        <v>0</v>
      </c>
      <c r="H37" s="14">
        <f t="shared" si="4"/>
        <v>0</v>
      </c>
      <c r="I37" s="14">
        <f t="shared" si="4"/>
        <v>0</v>
      </c>
      <c r="J37" s="14">
        <f t="shared" si="4"/>
        <v>0</v>
      </c>
      <c r="K37" s="14">
        <f t="shared" si="4"/>
        <v>0</v>
      </c>
      <c r="L37" s="14">
        <f t="shared" si="4"/>
        <v>0</v>
      </c>
      <c r="M37" s="14">
        <f t="shared" si="4"/>
        <v>0</v>
      </c>
      <c r="N37" s="14">
        <f t="shared" si="4"/>
        <v>0</v>
      </c>
      <c r="O37" s="14">
        <f t="shared" si="4"/>
        <v>0</v>
      </c>
      <c r="P37" s="14">
        <f t="shared" si="4"/>
        <v>0</v>
      </c>
      <c r="Q37" s="14">
        <f t="shared" si="4"/>
        <v>0</v>
      </c>
      <c r="R37" s="14">
        <f t="shared" si="4"/>
        <v>0</v>
      </c>
      <c r="S37" s="14">
        <f t="shared" si="4"/>
        <v>0</v>
      </c>
      <c r="T37" s="14">
        <f t="shared" si="4"/>
        <v>0</v>
      </c>
      <c r="U37" s="14">
        <f t="shared" si="4"/>
        <v>0</v>
      </c>
      <c r="V37" s="14">
        <f t="shared" si="9"/>
        <v>0</v>
      </c>
      <c r="W37" s="14">
        <f t="shared" si="9"/>
        <v>0</v>
      </c>
      <c r="X37" s="14">
        <f t="shared" ref="X37:CI37" si="24">$G14/X$28</f>
        <v>0</v>
      </c>
      <c r="Y37" s="14">
        <f t="shared" si="24"/>
        <v>0</v>
      </c>
      <c r="Z37" s="14">
        <f t="shared" si="24"/>
        <v>0</v>
      </c>
      <c r="AA37" s="14">
        <f t="shared" si="24"/>
        <v>0</v>
      </c>
      <c r="AB37" s="14">
        <f t="shared" si="24"/>
        <v>0</v>
      </c>
      <c r="AC37" s="14">
        <f t="shared" si="24"/>
        <v>0</v>
      </c>
      <c r="AD37" s="14">
        <f t="shared" si="24"/>
        <v>0</v>
      </c>
      <c r="AE37" s="14">
        <f t="shared" si="24"/>
        <v>0</v>
      </c>
      <c r="AF37" s="14">
        <f t="shared" si="24"/>
        <v>0</v>
      </c>
      <c r="AG37" s="14">
        <f t="shared" si="24"/>
        <v>0</v>
      </c>
      <c r="AH37" s="14">
        <f t="shared" si="24"/>
        <v>0</v>
      </c>
      <c r="AI37" s="14">
        <f t="shared" si="24"/>
        <v>0</v>
      </c>
      <c r="AJ37" s="14">
        <f t="shared" si="24"/>
        <v>0</v>
      </c>
      <c r="AK37" s="14">
        <f t="shared" si="24"/>
        <v>0</v>
      </c>
      <c r="AL37" s="14">
        <f t="shared" si="24"/>
        <v>0</v>
      </c>
      <c r="AM37" s="14">
        <f t="shared" si="24"/>
        <v>0</v>
      </c>
      <c r="AN37" s="14">
        <f t="shared" si="24"/>
        <v>0</v>
      </c>
      <c r="AO37" s="14">
        <f t="shared" si="24"/>
        <v>0</v>
      </c>
      <c r="AP37" s="14">
        <f t="shared" si="24"/>
        <v>0</v>
      </c>
      <c r="AQ37" s="14">
        <f t="shared" si="24"/>
        <v>0</v>
      </c>
      <c r="AR37" s="14">
        <f t="shared" si="24"/>
        <v>0</v>
      </c>
      <c r="AS37" s="14">
        <f t="shared" si="24"/>
        <v>0</v>
      </c>
      <c r="AT37" s="14">
        <f t="shared" si="24"/>
        <v>0</v>
      </c>
      <c r="AU37" s="14">
        <f t="shared" si="24"/>
        <v>0</v>
      </c>
      <c r="AV37" s="14">
        <f t="shared" si="24"/>
        <v>0</v>
      </c>
      <c r="AW37" s="14">
        <f t="shared" si="24"/>
        <v>0</v>
      </c>
      <c r="AX37" s="14">
        <f t="shared" si="24"/>
        <v>0</v>
      </c>
      <c r="AY37" s="14">
        <f t="shared" si="24"/>
        <v>0</v>
      </c>
      <c r="AZ37" s="14">
        <f t="shared" si="24"/>
        <v>0</v>
      </c>
      <c r="BA37" s="14">
        <f t="shared" si="24"/>
        <v>0</v>
      </c>
      <c r="BB37" s="14">
        <f t="shared" si="24"/>
        <v>0</v>
      </c>
      <c r="BC37" s="14">
        <f t="shared" si="24"/>
        <v>0</v>
      </c>
      <c r="BD37" s="14">
        <f t="shared" si="24"/>
        <v>0</v>
      </c>
      <c r="BE37" s="14">
        <f t="shared" si="24"/>
        <v>0</v>
      </c>
      <c r="BF37" s="14">
        <f t="shared" si="24"/>
        <v>0</v>
      </c>
      <c r="BG37" s="14">
        <f t="shared" si="24"/>
        <v>0</v>
      </c>
      <c r="BH37" s="14">
        <f t="shared" si="24"/>
        <v>0</v>
      </c>
      <c r="BI37" s="14">
        <f t="shared" si="24"/>
        <v>0</v>
      </c>
      <c r="BJ37" s="14">
        <f t="shared" si="24"/>
        <v>0</v>
      </c>
      <c r="BK37" s="14">
        <f t="shared" si="24"/>
        <v>0</v>
      </c>
      <c r="BL37" s="14">
        <f t="shared" si="24"/>
        <v>0</v>
      </c>
      <c r="BM37" s="14">
        <f t="shared" si="24"/>
        <v>0</v>
      </c>
      <c r="BN37" s="14">
        <f t="shared" si="24"/>
        <v>0</v>
      </c>
      <c r="BO37" s="14">
        <f t="shared" si="24"/>
        <v>0</v>
      </c>
      <c r="BP37" s="14">
        <f t="shared" si="24"/>
        <v>0</v>
      </c>
      <c r="BQ37" s="14">
        <f t="shared" si="24"/>
        <v>0</v>
      </c>
      <c r="BR37" s="14">
        <f t="shared" si="24"/>
        <v>0</v>
      </c>
      <c r="BS37" s="14">
        <f t="shared" si="24"/>
        <v>0</v>
      </c>
      <c r="BT37" s="14">
        <f t="shared" si="24"/>
        <v>0</v>
      </c>
      <c r="BU37" s="14">
        <f t="shared" si="24"/>
        <v>0</v>
      </c>
      <c r="BV37" s="14">
        <f t="shared" si="24"/>
        <v>0</v>
      </c>
      <c r="BW37" s="14">
        <f t="shared" si="24"/>
        <v>0</v>
      </c>
      <c r="BX37" s="14">
        <f t="shared" si="24"/>
        <v>0</v>
      </c>
      <c r="BY37" s="14">
        <f t="shared" si="24"/>
        <v>0</v>
      </c>
      <c r="BZ37" s="14">
        <f t="shared" si="24"/>
        <v>0</v>
      </c>
      <c r="CA37" s="14">
        <f t="shared" si="24"/>
        <v>0</v>
      </c>
      <c r="CB37" s="14">
        <f t="shared" si="24"/>
        <v>0</v>
      </c>
      <c r="CC37" s="14">
        <f t="shared" si="24"/>
        <v>0</v>
      </c>
      <c r="CD37" s="14">
        <f t="shared" si="24"/>
        <v>0</v>
      </c>
      <c r="CE37" s="14">
        <f t="shared" si="24"/>
        <v>0</v>
      </c>
      <c r="CF37" s="14">
        <f t="shared" si="24"/>
        <v>0</v>
      </c>
      <c r="CG37" s="14">
        <f t="shared" si="24"/>
        <v>0</v>
      </c>
      <c r="CH37" s="14">
        <f t="shared" si="24"/>
        <v>0</v>
      </c>
      <c r="CI37" s="14">
        <f t="shared" si="24"/>
        <v>0</v>
      </c>
      <c r="CJ37" s="14">
        <f t="shared" ref="CJ37" si="25">$G14/CJ$28</f>
        <v>0</v>
      </c>
    </row>
    <row r="38" spans="1:88" x14ac:dyDescent="0.35">
      <c r="A38" s="5" t="str">
        <f t="shared" si="7"/>
        <v/>
      </c>
      <c r="B38" s="14">
        <f t="shared" si="8"/>
        <v>0</v>
      </c>
      <c r="C38" s="14">
        <f t="shared" si="4"/>
        <v>0</v>
      </c>
      <c r="D38" s="14">
        <f t="shared" si="4"/>
        <v>0</v>
      </c>
      <c r="E38" s="14">
        <f t="shared" si="4"/>
        <v>0</v>
      </c>
      <c r="F38" s="14">
        <f t="shared" si="4"/>
        <v>0</v>
      </c>
      <c r="G38" s="14">
        <f t="shared" si="4"/>
        <v>0</v>
      </c>
      <c r="H38" s="14">
        <f t="shared" si="4"/>
        <v>0</v>
      </c>
      <c r="I38" s="14">
        <f t="shared" si="4"/>
        <v>0</v>
      </c>
      <c r="J38" s="14">
        <f t="shared" si="4"/>
        <v>0</v>
      </c>
      <c r="K38" s="14">
        <f t="shared" si="4"/>
        <v>0</v>
      </c>
      <c r="L38" s="14">
        <f t="shared" si="4"/>
        <v>0</v>
      </c>
      <c r="M38" s="14">
        <f t="shared" si="4"/>
        <v>0</v>
      </c>
      <c r="N38" s="14">
        <f t="shared" si="4"/>
        <v>0</v>
      </c>
      <c r="O38" s="14">
        <f t="shared" si="4"/>
        <v>0</v>
      </c>
      <c r="P38" s="14">
        <f t="shared" si="4"/>
        <v>0</v>
      </c>
      <c r="Q38" s="14">
        <f t="shared" si="4"/>
        <v>0</v>
      </c>
      <c r="R38" s="14">
        <f t="shared" si="4"/>
        <v>0</v>
      </c>
      <c r="S38" s="14">
        <f t="shared" si="4"/>
        <v>0</v>
      </c>
      <c r="T38" s="14">
        <f t="shared" si="4"/>
        <v>0</v>
      </c>
      <c r="U38" s="14">
        <f t="shared" si="4"/>
        <v>0</v>
      </c>
      <c r="V38" s="14">
        <f t="shared" si="9"/>
        <v>0</v>
      </c>
      <c r="W38" s="14">
        <f t="shared" si="9"/>
        <v>0</v>
      </c>
      <c r="X38" s="14">
        <f t="shared" ref="X38:CI38" si="26">$G15/X$28</f>
        <v>0</v>
      </c>
      <c r="Y38" s="14">
        <f t="shared" si="26"/>
        <v>0</v>
      </c>
      <c r="Z38" s="14">
        <f t="shared" si="26"/>
        <v>0</v>
      </c>
      <c r="AA38" s="14">
        <f t="shared" si="26"/>
        <v>0</v>
      </c>
      <c r="AB38" s="14">
        <f t="shared" si="26"/>
        <v>0</v>
      </c>
      <c r="AC38" s="14">
        <f t="shared" si="26"/>
        <v>0</v>
      </c>
      <c r="AD38" s="14">
        <f t="shared" si="26"/>
        <v>0</v>
      </c>
      <c r="AE38" s="14">
        <f t="shared" si="26"/>
        <v>0</v>
      </c>
      <c r="AF38" s="14">
        <f t="shared" si="26"/>
        <v>0</v>
      </c>
      <c r="AG38" s="14">
        <f t="shared" si="26"/>
        <v>0</v>
      </c>
      <c r="AH38" s="14">
        <f t="shared" si="26"/>
        <v>0</v>
      </c>
      <c r="AI38" s="14">
        <f t="shared" si="26"/>
        <v>0</v>
      </c>
      <c r="AJ38" s="14">
        <f t="shared" si="26"/>
        <v>0</v>
      </c>
      <c r="AK38" s="14">
        <f t="shared" si="26"/>
        <v>0</v>
      </c>
      <c r="AL38" s="14">
        <f t="shared" si="26"/>
        <v>0</v>
      </c>
      <c r="AM38" s="14">
        <f t="shared" si="26"/>
        <v>0</v>
      </c>
      <c r="AN38" s="14">
        <f t="shared" si="26"/>
        <v>0</v>
      </c>
      <c r="AO38" s="14">
        <f t="shared" si="26"/>
        <v>0</v>
      </c>
      <c r="AP38" s="14">
        <f t="shared" si="26"/>
        <v>0</v>
      </c>
      <c r="AQ38" s="14">
        <f t="shared" si="26"/>
        <v>0</v>
      </c>
      <c r="AR38" s="14">
        <f t="shared" si="26"/>
        <v>0</v>
      </c>
      <c r="AS38" s="14">
        <f t="shared" si="26"/>
        <v>0</v>
      </c>
      <c r="AT38" s="14">
        <f t="shared" si="26"/>
        <v>0</v>
      </c>
      <c r="AU38" s="14">
        <f t="shared" si="26"/>
        <v>0</v>
      </c>
      <c r="AV38" s="14">
        <f t="shared" si="26"/>
        <v>0</v>
      </c>
      <c r="AW38" s="14">
        <f t="shared" si="26"/>
        <v>0</v>
      </c>
      <c r="AX38" s="14">
        <f t="shared" si="26"/>
        <v>0</v>
      </c>
      <c r="AY38" s="14">
        <f t="shared" si="26"/>
        <v>0</v>
      </c>
      <c r="AZ38" s="14">
        <f t="shared" si="26"/>
        <v>0</v>
      </c>
      <c r="BA38" s="14">
        <f t="shared" si="26"/>
        <v>0</v>
      </c>
      <c r="BB38" s="14">
        <f t="shared" si="26"/>
        <v>0</v>
      </c>
      <c r="BC38" s="14">
        <f t="shared" si="26"/>
        <v>0</v>
      </c>
      <c r="BD38" s="14">
        <f t="shared" si="26"/>
        <v>0</v>
      </c>
      <c r="BE38" s="14">
        <f t="shared" si="26"/>
        <v>0</v>
      </c>
      <c r="BF38" s="14">
        <f t="shared" si="26"/>
        <v>0</v>
      </c>
      <c r="BG38" s="14">
        <f t="shared" si="26"/>
        <v>0</v>
      </c>
      <c r="BH38" s="14">
        <f t="shared" si="26"/>
        <v>0</v>
      </c>
      <c r="BI38" s="14">
        <f t="shared" si="26"/>
        <v>0</v>
      </c>
      <c r="BJ38" s="14">
        <f t="shared" si="26"/>
        <v>0</v>
      </c>
      <c r="BK38" s="14">
        <f t="shared" si="26"/>
        <v>0</v>
      </c>
      <c r="BL38" s="14">
        <f t="shared" si="26"/>
        <v>0</v>
      </c>
      <c r="BM38" s="14">
        <f t="shared" si="26"/>
        <v>0</v>
      </c>
      <c r="BN38" s="14">
        <f t="shared" si="26"/>
        <v>0</v>
      </c>
      <c r="BO38" s="14">
        <f t="shared" si="26"/>
        <v>0</v>
      </c>
      <c r="BP38" s="14">
        <f t="shared" si="26"/>
        <v>0</v>
      </c>
      <c r="BQ38" s="14">
        <f t="shared" si="26"/>
        <v>0</v>
      </c>
      <c r="BR38" s="14">
        <f t="shared" si="26"/>
        <v>0</v>
      </c>
      <c r="BS38" s="14">
        <f t="shared" si="26"/>
        <v>0</v>
      </c>
      <c r="BT38" s="14">
        <f t="shared" si="26"/>
        <v>0</v>
      </c>
      <c r="BU38" s="14">
        <f t="shared" si="26"/>
        <v>0</v>
      </c>
      <c r="BV38" s="14">
        <f t="shared" si="26"/>
        <v>0</v>
      </c>
      <c r="BW38" s="14">
        <f t="shared" si="26"/>
        <v>0</v>
      </c>
      <c r="BX38" s="14">
        <f t="shared" si="26"/>
        <v>0</v>
      </c>
      <c r="BY38" s="14">
        <f t="shared" si="26"/>
        <v>0</v>
      </c>
      <c r="BZ38" s="14">
        <f t="shared" si="26"/>
        <v>0</v>
      </c>
      <c r="CA38" s="14">
        <f t="shared" si="26"/>
        <v>0</v>
      </c>
      <c r="CB38" s="14">
        <f t="shared" si="26"/>
        <v>0</v>
      </c>
      <c r="CC38" s="14">
        <f t="shared" si="26"/>
        <v>0</v>
      </c>
      <c r="CD38" s="14">
        <f t="shared" si="26"/>
        <v>0</v>
      </c>
      <c r="CE38" s="14">
        <f t="shared" si="26"/>
        <v>0</v>
      </c>
      <c r="CF38" s="14">
        <f t="shared" si="26"/>
        <v>0</v>
      </c>
      <c r="CG38" s="14">
        <f t="shared" si="26"/>
        <v>0</v>
      </c>
      <c r="CH38" s="14">
        <f t="shared" si="26"/>
        <v>0</v>
      </c>
      <c r="CI38" s="14">
        <f t="shared" si="26"/>
        <v>0</v>
      </c>
      <c r="CJ38" s="14">
        <f t="shared" ref="CJ38" si="27">$G15/CJ$28</f>
        <v>0</v>
      </c>
    </row>
    <row r="39" spans="1:88" x14ac:dyDescent="0.35">
      <c r="A39" s="20" t="str">
        <f t="shared" si="7"/>
        <v/>
      </c>
      <c r="B39" s="14">
        <f t="shared" si="8"/>
        <v>0</v>
      </c>
      <c r="C39" s="14">
        <f t="shared" si="4"/>
        <v>0</v>
      </c>
      <c r="D39" s="14">
        <f t="shared" si="4"/>
        <v>0</v>
      </c>
      <c r="E39" s="14">
        <f t="shared" si="4"/>
        <v>0</v>
      </c>
      <c r="F39" s="14">
        <f t="shared" si="4"/>
        <v>0</v>
      </c>
      <c r="G39" s="14">
        <f t="shared" si="4"/>
        <v>0</v>
      </c>
      <c r="H39" s="14">
        <f t="shared" si="4"/>
        <v>0</v>
      </c>
      <c r="I39" s="14">
        <f t="shared" si="4"/>
        <v>0</v>
      </c>
      <c r="J39" s="14">
        <f t="shared" si="4"/>
        <v>0</v>
      </c>
      <c r="K39" s="14">
        <f t="shared" si="4"/>
        <v>0</v>
      </c>
      <c r="L39" s="14">
        <f t="shared" si="4"/>
        <v>0</v>
      </c>
      <c r="M39" s="14">
        <f t="shared" si="4"/>
        <v>0</v>
      </c>
      <c r="N39" s="14">
        <f t="shared" si="4"/>
        <v>0</v>
      </c>
      <c r="O39" s="14">
        <f t="shared" si="4"/>
        <v>0</v>
      </c>
      <c r="P39" s="14">
        <f t="shared" si="4"/>
        <v>0</v>
      </c>
      <c r="Q39" s="14">
        <f t="shared" si="4"/>
        <v>0</v>
      </c>
      <c r="R39" s="14">
        <f t="shared" si="4"/>
        <v>0</v>
      </c>
      <c r="S39" s="14">
        <f t="shared" si="4"/>
        <v>0</v>
      </c>
      <c r="T39" s="14">
        <f t="shared" si="4"/>
        <v>0</v>
      </c>
      <c r="U39" s="14">
        <f t="shared" si="4"/>
        <v>0</v>
      </c>
      <c r="V39" s="14">
        <f t="shared" si="9"/>
        <v>0</v>
      </c>
      <c r="W39" s="14">
        <f t="shared" si="9"/>
        <v>0</v>
      </c>
      <c r="X39" s="14">
        <f t="shared" ref="X39:CI39" si="28">$G16/X$28</f>
        <v>0</v>
      </c>
      <c r="Y39" s="14">
        <f t="shared" si="28"/>
        <v>0</v>
      </c>
      <c r="Z39" s="14">
        <f t="shared" si="28"/>
        <v>0</v>
      </c>
      <c r="AA39" s="14">
        <f t="shared" si="28"/>
        <v>0</v>
      </c>
      <c r="AB39" s="14">
        <f t="shared" si="28"/>
        <v>0</v>
      </c>
      <c r="AC39" s="14">
        <f t="shared" si="28"/>
        <v>0</v>
      </c>
      <c r="AD39" s="14">
        <f t="shared" si="28"/>
        <v>0</v>
      </c>
      <c r="AE39" s="14">
        <f t="shared" si="28"/>
        <v>0</v>
      </c>
      <c r="AF39" s="14">
        <f t="shared" si="28"/>
        <v>0</v>
      </c>
      <c r="AG39" s="14">
        <f t="shared" si="28"/>
        <v>0</v>
      </c>
      <c r="AH39" s="14">
        <f t="shared" si="28"/>
        <v>0</v>
      </c>
      <c r="AI39" s="14">
        <f t="shared" si="28"/>
        <v>0</v>
      </c>
      <c r="AJ39" s="14">
        <f t="shared" si="28"/>
        <v>0</v>
      </c>
      <c r="AK39" s="14">
        <f t="shared" si="28"/>
        <v>0</v>
      </c>
      <c r="AL39" s="14">
        <f t="shared" si="28"/>
        <v>0</v>
      </c>
      <c r="AM39" s="14">
        <f t="shared" si="28"/>
        <v>0</v>
      </c>
      <c r="AN39" s="14">
        <f t="shared" si="28"/>
        <v>0</v>
      </c>
      <c r="AO39" s="14">
        <f t="shared" si="28"/>
        <v>0</v>
      </c>
      <c r="AP39" s="14">
        <f t="shared" si="28"/>
        <v>0</v>
      </c>
      <c r="AQ39" s="14">
        <f t="shared" si="28"/>
        <v>0</v>
      </c>
      <c r="AR39" s="14">
        <f t="shared" si="28"/>
        <v>0</v>
      </c>
      <c r="AS39" s="14">
        <f t="shared" si="28"/>
        <v>0</v>
      </c>
      <c r="AT39" s="14">
        <f t="shared" si="28"/>
        <v>0</v>
      </c>
      <c r="AU39" s="14">
        <f t="shared" si="28"/>
        <v>0</v>
      </c>
      <c r="AV39" s="14">
        <f t="shared" si="28"/>
        <v>0</v>
      </c>
      <c r="AW39" s="14">
        <f t="shared" si="28"/>
        <v>0</v>
      </c>
      <c r="AX39" s="14">
        <f t="shared" si="28"/>
        <v>0</v>
      </c>
      <c r="AY39" s="14">
        <f t="shared" si="28"/>
        <v>0</v>
      </c>
      <c r="AZ39" s="14">
        <f t="shared" si="28"/>
        <v>0</v>
      </c>
      <c r="BA39" s="14">
        <f t="shared" si="28"/>
        <v>0</v>
      </c>
      <c r="BB39" s="14">
        <f t="shared" si="28"/>
        <v>0</v>
      </c>
      <c r="BC39" s="14">
        <f t="shared" si="28"/>
        <v>0</v>
      </c>
      <c r="BD39" s="14">
        <f t="shared" si="28"/>
        <v>0</v>
      </c>
      <c r="BE39" s="14">
        <f t="shared" si="28"/>
        <v>0</v>
      </c>
      <c r="BF39" s="14">
        <f t="shared" si="28"/>
        <v>0</v>
      </c>
      <c r="BG39" s="14">
        <f t="shared" si="28"/>
        <v>0</v>
      </c>
      <c r="BH39" s="14">
        <f t="shared" si="28"/>
        <v>0</v>
      </c>
      <c r="BI39" s="14">
        <f t="shared" si="28"/>
        <v>0</v>
      </c>
      <c r="BJ39" s="14">
        <f t="shared" si="28"/>
        <v>0</v>
      </c>
      <c r="BK39" s="14">
        <f t="shared" si="28"/>
        <v>0</v>
      </c>
      <c r="BL39" s="14">
        <f t="shared" si="28"/>
        <v>0</v>
      </c>
      <c r="BM39" s="14">
        <f t="shared" si="28"/>
        <v>0</v>
      </c>
      <c r="BN39" s="14">
        <f t="shared" si="28"/>
        <v>0</v>
      </c>
      <c r="BO39" s="14">
        <f t="shared" si="28"/>
        <v>0</v>
      </c>
      <c r="BP39" s="14">
        <f t="shared" si="28"/>
        <v>0</v>
      </c>
      <c r="BQ39" s="14">
        <f t="shared" si="28"/>
        <v>0</v>
      </c>
      <c r="BR39" s="14">
        <f t="shared" si="28"/>
        <v>0</v>
      </c>
      <c r="BS39" s="14">
        <f t="shared" si="28"/>
        <v>0</v>
      </c>
      <c r="BT39" s="14">
        <f t="shared" si="28"/>
        <v>0</v>
      </c>
      <c r="BU39" s="14">
        <f t="shared" si="28"/>
        <v>0</v>
      </c>
      <c r="BV39" s="14">
        <f t="shared" si="28"/>
        <v>0</v>
      </c>
      <c r="BW39" s="14">
        <f t="shared" si="28"/>
        <v>0</v>
      </c>
      <c r="BX39" s="14">
        <f t="shared" si="28"/>
        <v>0</v>
      </c>
      <c r="BY39" s="14">
        <f t="shared" si="28"/>
        <v>0</v>
      </c>
      <c r="BZ39" s="14">
        <f t="shared" si="28"/>
        <v>0</v>
      </c>
      <c r="CA39" s="14">
        <f t="shared" si="28"/>
        <v>0</v>
      </c>
      <c r="CB39" s="14">
        <f t="shared" si="28"/>
        <v>0</v>
      </c>
      <c r="CC39" s="14">
        <f t="shared" si="28"/>
        <v>0</v>
      </c>
      <c r="CD39" s="14">
        <f t="shared" si="28"/>
        <v>0</v>
      </c>
      <c r="CE39" s="14">
        <f t="shared" si="28"/>
        <v>0</v>
      </c>
      <c r="CF39" s="14">
        <f t="shared" si="28"/>
        <v>0</v>
      </c>
      <c r="CG39" s="14">
        <f t="shared" si="28"/>
        <v>0</v>
      </c>
      <c r="CH39" s="14">
        <f t="shared" si="28"/>
        <v>0</v>
      </c>
      <c r="CI39" s="14">
        <f t="shared" si="28"/>
        <v>0</v>
      </c>
      <c r="CJ39" s="14">
        <f t="shared" ref="CJ39" si="29">$G16/CJ$28</f>
        <v>0</v>
      </c>
    </row>
    <row r="40" spans="1:88" x14ac:dyDescent="0.35">
      <c r="A40" s="20" t="str">
        <f t="shared" si="7"/>
        <v/>
      </c>
      <c r="B40" s="14">
        <f t="shared" si="8"/>
        <v>0</v>
      </c>
      <c r="C40" s="14">
        <f t="shared" si="4"/>
        <v>0</v>
      </c>
      <c r="D40" s="14">
        <f t="shared" si="4"/>
        <v>0</v>
      </c>
      <c r="E40" s="14">
        <f t="shared" si="4"/>
        <v>0</v>
      </c>
      <c r="F40" s="14">
        <f t="shared" si="4"/>
        <v>0</v>
      </c>
      <c r="G40" s="14">
        <f t="shared" si="4"/>
        <v>0</v>
      </c>
      <c r="H40" s="14">
        <f t="shared" si="4"/>
        <v>0</v>
      </c>
      <c r="I40" s="14">
        <f t="shared" si="4"/>
        <v>0</v>
      </c>
      <c r="J40" s="14">
        <f t="shared" si="4"/>
        <v>0</v>
      </c>
      <c r="K40" s="14">
        <f t="shared" si="4"/>
        <v>0</v>
      </c>
      <c r="L40" s="14">
        <f t="shared" si="4"/>
        <v>0</v>
      </c>
      <c r="M40" s="14">
        <f t="shared" si="4"/>
        <v>0</v>
      </c>
      <c r="N40" s="14">
        <f t="shared" si="4"/>
        <v>0</v>
      </c>
      <c r="O40" s="14">
        <f t="shared" si="4"/>
        <v>0</v>
      </c>
      <c r="P40" s="14">
        <f t="shared" si="4"/>
        <v>0</v>
      </c>
      <c r="Q40" s="14">
        <f t="shared" si="4"/>
        <v>0</v>
      </c>
      <c r="R40" s="14">
        <f t="shared" si="4"/>
        <v>0</v>
      </c>
      <c r="S40" s="14">
        <f t="shared" si="4"/>
        <v>0</v>
      </c>
      <c r="T40" s="14">
        <f t="shared" si="4"/>
        <v>0</v>
      </c>
      <c r="U40" s="14">
        <f t="shared" si="4"/>
        <v>0</v>
      </c>
      <c r="V40" s="14">
        <f t="shared" si="9"/>
        <v>0</v>
      </c>
      <c r="W40" s="14">
        <f t="shared" si="9"/>
        <v>0</v>
      </c>
      <c r="X40" s="14">
        <f t="shared" ref="X40:CI40" si="30">$G17/X$28</f>
        <v>0</v>
      </c>
      <c r="Y40" s="14">
        <f t="shared" si="30"/>
        <v>0</v>
      </c>
      <c r="Z40" s="14">
        <f t="shared" si="30"/>
        <v>0</v>
      </c>
      <c r="AA40" s="14">
        <f t="shared" si="30"/>
        <v>0</v>
      </c>
      <c r="AB40" s="14">
        <f t="shared" si="30"/>
        <v>0</v>
      </c>
      <c r="AC40" s="14">
        <f t="shared" si="30"/>
        <v>0</v>
      </c>
      <c r="AD40" s="14">
        <f t="shared" si="30"/>
        <v>0</v>
      </c>
      <c r="AE40" s="14">
        <f t="shared" si="30"/>
        <v>0</v>
      </c>
      <c r="AF40" s="14">
        <f t="shared" si="30"/>
        <v>0</v>
      </c>
      <c r="AG40" s="14">
        <f t="shared" si="30"/>
        <v>0</v>
      </c>
      <c r="AH40" s="14">
        <f t="shared" si="30"/>
        <v>0</v>
      </c>
      <c r="AI40" s="14">
        <f t="shared" si="30"/>
        <v>0</v>
      </c>
      <c r="AJ40" s="14">
        <f t="shared" si="30"/>
        <v>0</v>
      </c>
      <c r="AK40" s="14">
        <f t="shared" si="30"/>
        <v>0</v>
      </c>
      <c r="AL40" s="14">
        <f t="shared" si="30"/>
        <v>0</v>
      </c>
      <c r="AM40" s="14">
        <f t="shared" si="30"/>
        <v>0</v>
      </c>
      <c r="AN40" s="14">
        <f t="shared" si="30"/>
        <v>0</v>
      </c>
      <c r="AO40" s="14">
        <f t="shared" si="30"/>
        <v>0</v>
      </c>
      <c r="AP40" s="14">
        <f t="shared" si="30"/>
        <v>0</v>
      </c>
      <c r="AQ40" s="14">
        <f t="shared" si="30"/>
        <v>0</v>
      </c>
      <c r="AR40" s="14">
        <f t="shared" si="30"/>
        <v>0</v>
      </c>
      <c r="AS40" s="14">
        <f t="shared" si="30"/>
        <v>0</v>
      </c>
      <c r="AT40" s="14">
        <f t="shared" si="30"/>
        <v>0</v>
      </c>
      <c r="AU40" s="14">
        <f t="shared" si="30"/>
        <v>0</v>
      </c>
      <c r="AV40" s="14">
        <f t="shared" si="30"/>
        <v>0</v>
      </c>
      <c r="AW40" s="14">
        <f t="shared" si="30"/>
        <v>0</v>
      </c>
      <c r="AX40" s="14">
        <f t="shared" si="30"/>
        <v>0</v>
      </c>
      <c r="AY40" s="14">
        <f t="shared" si="30"/>
        <v>0</v>
      </c>
      <c r="AZ40" s="14">
        <f t="shared" si="30"/>
        <v>0</v>
      </c>
      <c r="BA40" s="14">
        <f t="shared" si="30"/>
        <v>0</v>
      </c>
      <c r="BB40" s="14">
        <f t="shared" si="30"/>
        <v>0</v>
      </c>
      <c r="BC40" s="14">
        <f t="shared" si="30"/>
        <v>0</v>
      </c>
      <c r="BD40" s="14">
        <f t="shared" si="30"/>
        <v>0</v>
      </c>
      <c r="BE40" s="14">
        <f t="shared" si="30"/>
        <v>0</v>
      </c>
      <c r="BF40" s="14">
        <f t="shared" si="30"/>
        <v>0</v>
      </c>
      <c r="BG40" s="14">
        <f t="shared" si="30"/>
        <v>0</v>
      </c>
      <c r="BH40" s="14">
        <f t="shared" si="30"/>
        <v>0</v>
      </c>
      <c r="BI40" s="14">
        <f t="shared" si="30"/>
        <v>0</v>
      </c>
      <c r="BJ40" s="14">
        <f t="shared" si="30"/>
        <v>0</v>
      </c>
      <c r="BK40" s="14">
        <f t="shared" si="30"/>
        <v>0</v>
      </c>
      <c r="BL40" s="14">
        <f t="shared" si="30"/>
        <v>0</v>
      </c>
      <c r="BM40" s="14">
        <f t="shared" si="30"/>
        <v>0</v>
      </c>
      <c r="BN40" s="14">
        <f t="shared" si="30"/>
        <v>0</v>
      </c>
      <c r="BO40" s="14">
        <f t="shared" si="30"/>
        <v>0</v>
      </c>
      <c r="BP40" s="14">
        <f t="shared" si="30"/>
        <v>0</v>
      </c>
      <c r="BQ40" s="14">
        <f t="shared" si="30"/>
        <v>0</v>
      </c>
      <c r="BR40" s="14">
        <f t="shared" si="30"/>
        <v>0</v>
      </c>
      <c r="BS40" s="14">
        <f t="shared" si="30"/>
        <v>0</v>
      </c>
      <c r="BT40" s="14">
        <f t="shared" si="30"/>
        <v>0</v>
      </c>
      <c r="BU40" s="14">
        <f t="shared" si="30"/>
        <v>0</v>
      </c>
      <c r="BV40" s="14">
        <f t="shared" si="30"/>
        <v>0</v>
      </c>
      <c r="BW40" s="14">
        <f t="shared" si="30"/>
        <v>0</v>
      </c>
      <c r="BX40" s="14">
        <f t="shared" si="30"/>
        <v>0</v>
      </c>
      <c r="BY40" s="14">
        <f t="shared" si="30"/>
        <v>0</v>
      </c>
      <c r="BZ40" s="14">
        <f t="shared" si="30"/>
        <v>0</v>
      </c>
      <c r="CA40" s="14">
        <f t="shared" si="30"/>
        <v>0</v>
      </c>
      <c r="CB40" s="14">
        <f t="shared" si="30"/>
        <v>0</v>
      </c>
      <c r="CC40" s="14">
        <f t="shared" si="30"/>
        <v>0</v>
      </c>
      <c r="CD40" s="14">
        <f t="shared" si="30"/>
        <v>0</v>
      </c>
      <c r="CE40" s="14">
        <f t="shared" si="30"/>
        <v>0</v>
      </c>
      <c r="CF40" s="14">
        <f t="shared" si="30"/>
        <v>0</v>
      </c>
      <c r="CG40" s="14">
        <f t="shared" si="30"/>
        <v>0</v>
      </c>
      <c r="CH40" s="14">
        <f t="shared" si="30"/>
        <v>0</v>
      </c>
      <c r="CI40" s="14">
        <f t="shared" si="30"/>
        <v>0</v>
      </c>
      <c r="CJ40" s="14">
        <f t="shared" ref="CJ40:CJ43" si="31">$G17/CJ$28</f>
        <v>0</v>
      </c>
    </row>
    <row r="41" spans="1:88" x14ac:dyDescent="0.35">
      <c r="A41" s="20" t="str">
        <f t="shared" si="7"/>
        <v/>
      </c>
      <c r="B41" s="14">
        <f t="shared" ref="B41:BM41" si="32">$G18/B$28</f>
        <v>0</v>
      </c>
      <c r="C41" s="14">
        <f t="shared" si="32"/>
        <v>0</v>
      </c>
      <c r="D41" s="14">
        <f t="shared" si="32"/>
        <v>0</v>
      </c>
      <c r="E41" s="14">
        <f t="shared" si="32"/>
        <v>0</v>
      </c>
      <c r="F41" s="14">
        <f t="shared" si="32"/>
        <v>0</v>
      </c>
      <c r="G41" s="14">
        <f t="shared" si="32"/>
        <v>0</v>
      </c>
      <c r="H41" s="14">
        <f t="shared" si="32"/>
        <v>0</v>
      </c>
      <c r="I41" s="14">
        <f t="shared" si="32"/>
        <v>0</v>
      </c>
      <c r="J41" s="14">
        <f t="shared" si="32"/>
        <v>0</v>
      </c>
      <c r="K41" s="14">
        <f t="shared" si="32"/>
        <v>0</v>
      </c>
      <c r="L41" s="14">
        <f t="shared" si="32"/>
        <v>0</v>
      </c>
      <c r="M41" s="14">
        <f t="shared" si="32"/>
        <v>0</v>
      </c>
      <c r="N41" s="14">
        <f t="shared" si="32"/>
        <v>0</v>
      </c>
      <c r="O41" s="14">
        <f t="shared" si="32"/>
        <v>0</v>
      </c>
      <c r="P41" s="14">
        <f t="shared" si="32"/>
        <v>0</v>
      </c>
      <c r="Q41" s="14">
        <f t="shared" si="32"/>
        <v>0</v>
      </c>
      <c r="R41" s="14">
        <f t="shared" si="32"/>
        <v>0</v>
      </c>
      <c r="S41" s="14">
        <f t="shared" si="32"/>
        <v>0</v>
      </c>
      <c r="T41" s="14">
        <f t="shared" si="32"/>
        <v>0</v>
      </c>
      <c r="U41" s="14">
        <f t="shared" si="32"/>
        <v>0</v>
      </c>
      <c r="V41" s="14">
        <f t="shared" si="32"/>
        <v>0</v>
      </c>
      <c r="W41" s="14">
        <f t="shared" si="32"/>
        <v>0</v>
      </c>
      <c r="X41" s="14">
        <f t="shared" si="32"/>
        <v>0</v>
      </c>
      <c r="Y41" s="14">
        <f t="shared" si="32"/>
        <v>0</v>
      </c>
      <c r="Z41" s="14">
        <f t="shared" si="32"/>
        <v>0</v>
      </c>
      <c r="AA41" s="14">
        <f t="shared" si="32"/>
        <v>0</v>
      </c>
      <c r="AB41" s="14">
        <f t="shared" si="32"/>
        <v>0</v>
      </c>
      <c r="AC41" s="14">
        <f t="shared" si="32"/>
        <v>0</v>
      </c>
      <c r="AD41" s="14">
        <f t="shared" si="32"/>
        <v>0</v>
      </c>
      <c r="AE41" s="14">
        <f t="shared" si="32"/>
        <v>0</v>
      </c>
      <c r="AF41" s="14">
        <f t="shared" si="32"/>
        <v>0</v>
      </c>
      <c r="AG41" s="14">
        <f t="shared" si="32"/>
        <v>0</v>
      </c>
      <c r="AH41" s="14">
        <f t="shared" si="32"/>
        <v>0</v>
      </c>
      <c r="AI41" s="14">
        <f t="shared" si="32"/>
        <v>0</v>
      </c>
      <c r="AJ41" s="14">
        <f t="shared" si="32"/>
        <v>0</v>
      </c>
      <c r="AK41" s="14">
        <f t="shared" si="32"/>
        <v>0</v>
      </c>
      <c r="AL41" s="14">
        <f t="shared" si="32"/>
        <v>0</v>
      </c>
      <c r="AM41" s="14">
        <f t="shared" si="32"/>
        <v>0</v>
      </c>
      <c r="AN41" s="14">
        <f t="shared" si="32"/>
        <v>0</v>
      </c>
      <c r="AO41" s="14">
        <f t="shared" si="32"/>
        <v>0</v>
      </c>
      <c r="AP41" s="14">
        <f t="shared" si="32"/>
        <v>0</v>
      </c>
      <c r="AQ41" s="14">
        <f t="shared" si="32"/>
        <v>0</v>
      </c>
      <c r="AR41" s="14">
        <f t="shared" si="32"/>
        <v>0</v>
      </c>
      <c r="AS41" s="14">
        <f t="shared" si="32"/>
        <v>0</v>
      </c>
      <c r="AT41" s="14">
        <f t="shared" si="32"/>
        <v>0</v>
      </c>
      <c r="AU41" s="14">
        <f t="shared" si="32"/>
        <v>0</v>
      </c>
      <c r="AV41" s="14">
        <f t="shared" si="32"/>
        <v>0</v>
      </c>
      <c r="AW41" s="14">
        <f t="shared" si="32"/>
        <v>0</v>
      </c>
      <c r="AX41" s="14">
        <f t="shared" si="32"/>
        <v>0</v>
      </c>
      <c r="AY41" s="14">
        <f t="shared" si="32"/>
        <v>0</v>
      </c>
      <c r="AZ41" s="14">
        <f t="shared" si="32"/>
        <v>0</v>
      </c>
      <c r="BA41" s="14">
        <f t="shared" si="32"/>
        <v>0</v>
      </c>
      <c r="BB41" s="14">
        <f t="shared" si="32"/>
        <v>0</v>
      </c>
      <c r="BC41" s="14">
        <f t="shared" si="32"/>
        <v>0</v>
      </c>
      <c r="BD41" s="14">
        <f t="shared" si="32"/>
        <v>0</v>
      </c>
      <c r="BE41" s="14">
        <f t="shared" si="32"/>
        <v>0</v>
      </c>
      <c r="BF41" s="14">
        <f t="shared" si="32"/>
        <v>0</v>
      </c>
      <c r="BG41" s="14">
        <f t="shared" si="32"/>
        <v>0</v>
      </c>
      <c r="BH41" s="14">
        <f t="shared" si="32"/>
        <v>0</v>
      </c>
      <c r="BI41" s="14">
        <f t="shared" si="32"/>
        <v>0</v>
      </c>
      <c r="BJ41" s="14">
        <f t="shared" si="32"/>
        <v>0</v>
      </c>
      <c r="BK41" s="14">
        <f t="shared" si="32"/>
        <v>0</v>
      </c>
      <c r="BL41" s="14">
        <f t="shared" si="32"/>
        <v>0</v>
      </c>
      <c r="BM41" s="14">
        <f t="shared" si="32"/>
        <v>0</v>
      </c>
      <c r="BN41" s="14">
        <f t="shared" ref="BN41:CI41" si="33">$G18/BN$28</f>
        <v>0</v>
      </c>
      <c r="BO41" s="14">
        <f t="shared" si="33"/>
        <v>0</v>
      </c>
      <c r="BP41" s="14">
        <f t="shared" si="33"/>
        <v>0</v>
      </c>
      <c r="BQ41" s="14">
        <f t="shared" si="33"/>
        <v>0</v>
      </c>
      <c r="BR41" s="14">
        <f t="shared" si="33"/>
        <v>0</v>
      </c>
      <c r="BS41" s="14">
        <f t="shared" si="33"/>
        <v>0</v>
      </c>
      <c r="BT41" s="14">
        <f t="shared" si="33"/>
        <v>0</v>
      </c>
      <c r="BU41" s="14">
        <f t="shared" si="33"/>
        <v>0</v>
      </c>
      <c r="BV41" s="14">
        <f t="shared" si="33"/>
        <v>0</v>
      </c>
      <c r="BW41" s="14">
        <f t="shared" si="33"/>
        <v>0</v>
      </c>
      <c r="BX41" s="14">
        <f t="shared" si="33"/>
        <v>0</v>
      </c>
      <c r="BY41" s="14">
        <f t="shared" si="33"/>
        <v>0</v>
      </c>
      <c r="BZ41" s="14">
        <f t="shared" si="33"/>
        <v>0</v>
      </c>
      <c r="CA41" s="14">
        <f t="shared" si="33"/>
        <v>0</v>
      </c>
      <c r="CB41" s="14">
        <f t="shared" si="33"/>
        <v>0</v>
      </c>
      <c r="CC41" s="14">
        <f t="shared" si="33"/>
        <v>0</v>
      </c>
      <c r="CD41" s="14">
        <f t="shared" si="33"/>
        <v>0</v>
      </c>
      <c r="CE41" s="14">
        <f t="shared" si="33"/>
        <v>0</v>
      </c>
      <c r="CF41" s="14">
        <f t="shared" si="33"/>
        <v>0</v>
      </c>
      <c r="CG41" s="14">
        <f t="shared" si="33"/>
        <v>0</v>
      </c>
      <c r="CH41" s="14">
        <f t="shared" si="33"/>
        <v>0</v>
      </c>
      <c r="CI41" s="14">
        <f t="shared" si="33"/>
        <v>0</v>
      </c>
      <c r="CJ41" s="14">
        <f t="shared" si="31"/>
        <v>0</v>
      </c>
    </row>
    <row r="42" spans="1:88" x14ac:dyDescent="0.35">
      <c r="A42" s="20" t="str">
        <f t="shared" si="7"/>
        <v/>
      </c>
      <c r="B42" s="14">
        <f t="shared" ref="B42:BM43" si="34">$G19/B$28</f>
        <v>0</v>
      </c>
      <c r="C42" s="14">
        <f t="shared" si="34"/>
        <v>0</v>
      </c>
      <c r="D42" s="14">
        <f t="shared" si="34"/>
        <v>0</v>
      </c>
      <c r="E42" s="14">
        <f t="shared" si="34"/>
        <v>0</v>
      </c>
      <c r="F42" s="14">
        <f t="shared" si="34"/>
        <v>0</v>
      </c>
      <c r="G42" s="14">
        <f t="shared" si="34"/>
        <v>0</v>
      </c>
      <c r="H42" s="14">
        <f t="shared" si="34"/>
        <v>0</v>
      </c>
      <c r="I42" s="14">
        <f t="shared" si="34"/>
        <v>0</v>
      </c>
      <c r="J42" s="14">
        <f t="shared" si="34"/>
        <v>0</v>
      </c>
      <c r="K42" s="14">
        <f t="shared" si="34"/>
        <v>0</v>
      </c>
      <c r="L42" s="14">
        <f t="shared" si="34"/>
        <v>0</v>
      </c>
      <c r="M42" s="14">
        <f t="shared" si="34"/>
        <v>0</v>
      </c>
      <c r="N42" s="14">
        <f t="shared" si="34"/>
        <v>0</v>
      </c>
      <c r="O42" s="14">
        <f t="shared" si="34"/>
        <v>0</v>
      </c>
      <c r="P42" s="14">
        <f t="shared" si="34"/>
        <v>0</v>
      </c>
      <c r="Q42" s="14">
        <f t="shared" si="34"/>
        <v>0</v>
      </c>
      <c r="R42" s="14">
        <f t="shared" si="34"/>
        <v>0</v>
      </c>
      <c r="S42" s="14">
        <f t="shared" si="34"/>
        <v>0</v>
      </c>
      <c r="T42" s="14">
        <f t="shared" si="34"/>
        <v>0</v>
      </c>
      <c r="U42" s="14">
        <f t="shared" si="34"/>
        <v>0</v>
      </c>
      <c r="V42" s="14">
        <f t="shared" si="34"/>
        <v>0</v>
      </c>
      <c r="W42" s="14">
        <f t="shared" si="34"/>
        <v>0</v>
      </c>
      <c r="X42" s="14">
        <f t="shared" si="34"/>
        <v>0</v>
      </c>
      <c r="Y42" s="14">
        <f t="shared" si="34"/>
        <v>0</v>
      </c>
      <c r="Z42" s="14">
        <f t="shared" si="34"/>
        <v>0</v>
      </c>
      <c r="AA42" s="14">
        <f t="shared" si="34"/>
        <v>0</v>
      </c>
      <c r="AB42" s="14">
        <f t="shared" si="34"/>
        <v>0</v>
      </c>
      <c r="AC42" s="14">
        <f t="shared" si="34"/>
        <v>0</v>
      </c>
      <c r="AD42" s="14">
        <f t="shared" si="34"/>
        <v>0</v>
      </c>
      <c r="AE42" s="14">
        <f t="shared" si="34"/>
        <v>0</v>
      </c>
      <c r="AF42" s="14">
        <f t="shared" si="34"/>
        <v>0</v>
      </c>
      <c r="AG42" s="14">
        <f t="shared" si="34"/>
        <v>0</v>
      </c>
      <c r="AH42" s="14">
        <f t="shared" si="34"/>
        <v>0</v>
      </c>
      <c r="AI42" s="14">
        <f t="shared" si="34"/>
        <v>0</v>
      </c>
      <c r="AJ42" s="14">
        <f t="shared" si="34"/>
        <v>0</v>
      </c>
      <c r="AK42" s="14">
        <f t="shared" si="34"/>
        <v>0</v>
      </c>
      <c r="AL42" s="14">
        <f t="shared" si="34"/>
        <v>0</v>
      </c>
      <c r="AM42" s="14">
        <f t="shared" si="34"/>
        <v>0</v>
      </c>
      <c r="AN42" s="14">
        <f t="shared" si="34"/>
        <v>0</v>
      </c>
      <c r="AO42" s="14">
        <f t="shared" si="34"/>
        <v>0</v>
      </c>
      <c r="AP42" s="14">
        <f t="shared" si="34"/>
        <v>0</v>
      </c>
      <c r="AQ42" s="14">
        <f t="shared" si="34"/>
        <v>0</v>
      </c>
      <c r="AR42" s="14">
        <f t="shared" si="34"/>
        <v>0</v>
      </c>
      <c r="AS42" s="14">
        <f t="shared" si="34"/>
        <v>0</v>
      </c>
      <c r="AT42" s="14">
        <f t="shared" si="34"/>
        <v>0</v>
      </c>
      <c r="AU42" s="14">
        <f t="shared" si="34"/>
        <v>0</v>
      </c>
      <c r="AV42" s="14">
        <f t="shared" si="34"/>
        <v>0</v>
      </c>
      <c r="AW42" s="14">
        <f t="shared" si="34"/>
        <v>0</v>
      </c>
      <c r="AX42" s="14">
        <f t="shared" si="34"/>
        <v>0</v>
      </c>
      <c r="AY42" s="14">
        <f t="shared" si="34"/>
        <v>0</v>
      </c>
      <c r="AZ42" s="14">
        <f t="shared" si="34"/>
        <v>0</v>
      </c>
      <c r="BA42" s="14">
        <f t="shared" si="34"/>
        <v>0</v>
      </c>
      <c r="BB42" s="14">
        <f t="shared" si="34"/>
        <v>0</v>
      </c>
      <c r="BC42" s="14">
        <f t="shared" si="34"/>
        <v>0</v>
      </c>
      <c r="BD42" s="14">
        <f t="shared" si="34"/>
        <v>0</v>
      </c>
      <c r="BE42" s="14">
        <f t="shared" si="34"/>
        <v>0</v>
      </c>
      <c r="BF42" s="14">
        <f t="shared" si="34"/>
        <v>0</v>
      </c>
      <c r="BG42" s="14">
        <f t="shared" si="34"/>
        <v>0</v>
      </c>
      <c r="BH42" s="14">
        <f t="shared" si="34"/>
        <v>0</v>
      </c>
      <c r="BI42" s="14">
        <f t="shared" si="34"/>
        <v>0</v>
      </c>
      <c r="BJ42" s="14">
        <f t="shared" si="34"/>
        <v>0</v>
      </c>
      <c r="BK42" s="14">
        <f t="shared" si="34"/>
        <v>0</v>
      </c>
      <c r="BL42" s="14">
        <f t="shared" si="34"/>
        <v>0</v>
      </c>
      <c r="BM42" s="14">
        <f t="shared" si="34"/>
        <v>0</v>
      </c>
      <c r="BN42" s="14">
        <f t="shared" ref="BN42:CI43" si="35">$G19/BN$28</f>
        <v>0</v>
      </c>
      <c r="BO42" s="14">
        <f t="shared" si="35"/>
        <v>0</v>
      </c>
      <c r="BP42" s="14">
        <f t="shared" si="35"/>
        <v>0</v>
      </c>
      <c r="BQ42" s="14">
        <f t="shared" si="35"/>
        <v>0</v>
      </c>
      <c r="BR42" s="14">
        <f t="shared" si="35"/>
        <v>0</v>
      </c>
      <c r="BS42" s="14">
        <f t="shared" si="35"/>
        <v>0</v>
      </c>
      <c r="BT42" s="14">
        <f t="shared" si="35"/>
        <v>0</v>
      </c>
      <c r="BU42" s="14">
        <f t="shared" si="35"/>
        <v>0</v>
      </c>
      <c r="BV42" s="14">
        <f t="shared" si="35"/>
        <v>0</v>
      </c>
      <c r="BW42" s="14">
        <f t="shared" si="35"/>
        <v>0</v>
      </c>
      <c r="BX42" s="14">
        <f t="shared" si="35"/>
        <v>0</v>
      </c>
      <c r="BY42" s="14">
        <f t="shared" si="35"/>
        <v>0</v>
      </c>
      <c r="BZ42" s="14">
        <f t="shared" si="35"/>
        <v>0</v>
      </c>
      <c r="CA42" s="14">
        <f t="shared" si="35"/>
        <v>0</v>
      </c>
      <c r="CB42" s="14">
        <f t="shared" si="35"/>
        <v>0</v>
      </c>
      <c r="CC42" s="14">
        <f t="shared" si="35"/>
        <v>0</v>
      </c>
      <c r="CD42" s="14">
        <f t="shared" si="35"/>
        <v>0</v>
      </c>
      <c r="CE42" s="14">
        <f t="shared" si="35"/>
        <v>0</v>
      </c>
      <c r="CF42" s="14">
        <f t="shared" si="35"/>
        <v>0</v>
      </c>
      <c r="CG42" s="14">
        <f t="shared" si="35"/>
        <v>0</v>
      </c>
      <c r="CH42" s="14">
        <f t="shared" si="35"/>
        <v>0</v>
      </c>
      <c r="CI42" s="14">
        <f t="shared" si="35"/>
        <v>0</v>
      </c>
      <c r="CJ42" s="14">
        <f t="shared" si="31"/>
        <v>0</v>
      </c>
    </row>
    <row r="43" spans="1:88" x14ac:dyDescent="0.35">
      <c r="A43" s="21" t="str">
        <f t="shared" si="7"/>
        <v/>
      </c>
      <c r="B43" s="14">
        <f t="shared" si="34"/>
        <v>0</v>
      </c>
      <c r="C43" s="14">
        <f t="shared" si="34"/>
        <v>0</v>
      </c>
      <c r="D43" s="14">
        <f t="shared" si="34"/>
        <v>0</v>
      </c>
      <c r="E43" s="14">
        <f t="shared" si="34"/>
        <v>0</v>
      </c>
      <c r="F43" s="14">
        <f t="shared" si="34"/>
        <v>0</v>
      </c>
      <c r="G43" s="14">
        <f t="shared" si="34"/>
        <v>0</v>
      </c>
      <c r="H43" s="14">
        <f t="shared" si="34"/>
        <v>0</v>
      </c>
      <c r="I43" s="14">
        <f t="shared" si="34"/>
        <v>0</v>
      </c>
      <c r="J43" s="14">
        <f t="shared" si="34"/>
        <v>0</v>
      </c>
      <c r="K43" s="14">
        <f t="shared" si="34"/>
        <v>0</v>
      </c>
      <c r="L43" s="14">
        <f t="shared" si="34"/>
        <v>0</v>
      </c>
      <c r="M43" s="14">
        <f t="shared" si="34"/>
        <v>0</v>
      </c>
      <c r="N43" s="14">
        <f t="shared" si="34"/>
        <v>0</v>
      </c>
      <c r="O43" s="14">
        <f t="shared" si="34"/>
        <v>0</v>
      </c>
      <c r="P43" s="14">
        <f t="shared" si="34"/>
        <v>0</v>
      </c>
      <c r="Q43" s="14">
        <f t="shared" si="34"/>
        <v>0</v>
      </c>
      <c r="R43" s="14">
        <f t="shared" si="34"/>
        <v>0</v>
      </c>
      <c r="S43" s="14">
        <f t="shared" si="34"/>
        <v>0</v>
      </c>
      <c r="T43" s="14">
        <f t="shared" si="34"/>
        <v>0</v>
      </c>
      <c r="U43" s="14">
        <f t="shared" si="34"/>
        <v>0</v>
      </c>
      <c r="V43" s="14">
        <f t="shared" si="34"/>
        <v>0</v>
      </c>
      <c r="W43" s="14">
        <f t="shared" si="34"/>
        <v>0</v>
      </c>
      <c r="X43" s="14">
        <f t="shared" si="34"/>
        <v>0</v>
      </c>
      <c r="Y43" s="14">
        <f t="shared" si="34"/>
        <v>0</v>
      </c>
      <c r="Z43" s="14">
        <f t="shared" si="34"/>
        <v>0</v>
      </c>
      <c r="AA43" s="14">
        <f t="shared" si="34"/>
        <v>0</v>
      </c>
      <c r="AB43" s="14">
        <f t="shared" si="34"/>
        <v>0</v>
      </c>
      <c r="AC43" s="14">
        <f t="shared" si="34"/>
        <v>0</v>
      </c>
      <c r="AD43" s="14">
        <f t="shared" si="34"/>
        <v>0</v>
      </c>
      <c r="AE43" s="14">
        <f t="shared" si="34"/>
        <v>0</v>
      </c>
      <c r="AF43" s="14">
        <f t="shared" si="34"/>
        <v>0</v>
      </c>
      <c r="AG43" s="14">
        <f t="shared" si="34"/>
        <v>0</v>
      </c>
      <c r="AH43" s="14">
        <f t="shared" si="34"/>
        <v>0</v>
      </c>
      <c r="AI43" s="14">
        <f t="shared" si="34"/>
        <v>0</v>
      </c>
      <c r="AJ43" s="14">
        <f t="shared" si="34"/>
        <v>0</v>
      </c>
      <c r="AK43" s="14">
        <f t="shared" si="34"/>
        <v>0</v>
      </c>
      <c r="AL43" s="14">
        <f t="shared" si="34"/>
        <v>0</v>
      </c>
      <c r="AM43" s="14">
        <f t="shared" si="34"/>
        <v>0</v>
      </c>
      <c r="AN43" s="14">
        <f t="shared" si="34"/>
        <v>0</v>
      </c>
      <c r="AO43" s="14">
        <f t="shared" si="34"/>
        <v>0</v>
      </c>
      <c r="AP43" s="14">
        <f t="shared" si="34"/>
        <v>0</v>
      </c>
      <c r="AQ43" s="14">
        <f t="shared" si="34"/>
        <v>0</v>
      </c>
      <c r="AR43" s="14">
        <f t="shared" si="34"/>
        <v>0</v>
      </c>
      <c r="AS43" s="14">
        <f t="shared" si="34"/>
        <v>0</v>
      </c>
      <c r="AT43" s="14">
        <f t="shared" si="34"/>
        <v>0</v>
      </c>
      <c r="AU43" s="14">
        <f t="shared" si="34"/>
        <v>0</v>
      </c>
      <c r="AV43" s="14">
        <f t="shared" si="34"/>
        <v>0</v>
      </c>
      <c r="AW43" s="14">
        <f t="shared" si="34"/>
        <v>0</v>
      </c>
      <c r="AX43" s="14">
        <f t="shared" si="34"/>
        <v>0</v>
      </c>
      <c r="AY43" s="14">
        <f t="shared" si="34"/>
        <v>0</v>
      </c>
      <c r="AZ43" s="14">
        <f t="shared" si="34"/>
        <v>0</v>
      </c>
      <c r="BA43" s="14">
        <f t="shared" si="34"/>
        <v>0</v>
      </c>
      <c r="BB43" s="14">
        <f t="shared" si="34"/>
        <v>0</v>
      </c>
      <c r="BC43" s="14">
        <f t="shared" si="34"/>
        <v>0</v>
      </c>
      <c r="BD43" s="14">
        <f t="shared" si="34"/>
        <v>0</v>
      </c>
      <c r="BE43" s="14">
        <f t="shared" si="34"/>
        <v>0</v>
      </c>
      <c r="BF43" s="14">
        <f t="shared" si="34"/>
        <v>0</v>
      </c>
      <c r="BG43" s="14">
        <f t="shared" si="34"/>
        <v>0</v>
      </c>
      <c r="BH43" s="14">
        <f t="shared" si="34"/>
        <v>0</v>
      </c>
      <c r="BI43" s="14">
        <f t="shared" si="34"/>
        <v>0</v>
      </c>
      <c r="BJ43" s="14">
        <f t="shared" si="34"/>
        <v>0</v>
      </c>
      <c r="BK43" s="14">
        <f t="shared" si="34"/>
        <v>0</v>
      </c>
      <c r="BL43" s="14">
        <f t="shared" si="34"/>
        <v>0</v>
      </c>
      <c r="BM43" s="14">
        <f t="shared" si="34"/>
        <v>0</v>
      </c>
      <c r="BN43" s="14">
        <f t="shared" si="35"/>
        <v>0</v>
      </c>
      <c r="BO43" s="14">
        <f t="shared" si="35"/>
        <v>0</v>
      </c>
      <c r="BP43" s="14">
        <f t="shared" si="35"/>
        <v>0</v>
      </c>
      <c r="BQ43" s="14">
        <f t="shared" si="35"/>
        <v>0</v>
      </c>
      <c r="BR43" s="14">
        <f t="shared" si="35"/>
        <v>0</v>
      </c>
      <c r="BS43" s="14">
        <f t="shared" si="35"/>
        <v>0</v>
      </c>
      <c r="BT43" s="14">
        <f t="shared" si="35"/>
        <v>0</v>
      </c>
      <c r="BU43" s="14">
        <f t="shared" si="35"/>
        <v>0</v>
      </c>
      <c r="BV43" s="14">
        <f t="shared" si="35"/>
        <v>0</v>
      </c>
      <c r="BW43" s="14">
        <f t="shared" si="35"/>
        <v>0</v>
      </c>
      <c r="BX43" s="14">
        <f t="shared" si="35"/>
        <v>0</v>
      </c>
      <c r="BY43" s="14">
        <f t="shared" si="35"/>
        <v>0</v>
      </c>
      <c r="BZ43" s="14">
        <f t="shared" si="35"/>
        <v>0</v>
      </c>
      <c r="CA43" s="14">
        <f t="shared" si="35"/>
        <v>0</v>
      </c>
      <c r="CB43" s="14">
        <f t="shared" si="35"/>
        <v>0</v>
      </c>
      <c r="CC43" s="14">
        <f t="shared" si="35"/>
        <v>0</v>
      </c>
      <c r="CD43" s="14">
        <f t="shared" si="35"/>
        <v>0</v>
      </c>
      <c r="CE43" s="14">
        <f t="shared" si="35"/>
        <v>0</v>
      </c>
      <c r="CF43" s="14">
        <f t="shared" si="35"/>
        <v>0</v>
      </c>
      <c r="CG43" s="14">
        <f t="shared" si="35"/>
        <v>0</v>
      </c>
      <c r="CH43" s="14">
        <f t="shared" si="35"/>
        <v>0</v>
      </c>
      <c r="CI43" s="14">
        <f t="shared" si="35"/>
        <v>0</v>
      </c>
      <c r="CJ43" s="14">
        <f t="shared" si="31"/>
        <v>0</v>
      </c>
    </row>
    <row r="44" spans="1:88" x14ac:dyDescent="0.35">
      <c r="B44" s="6"/>
      <c r="C44" s="6"/>
      <c r="D44" s="6"/>
      <c r="E44" s="6"/>
      <c r="F44" s="6"/>
      <c r="G44" s="6"/>
      <c r="H44" s="6"/>
      <c r="I44" s="6"/>
      <c r="J44" s="6"/>
      <c r="K44" s="10"/>
      <c r="L44" s="6"/>
      <c r="M44" s="6"/>
    </row>
    <row r="47" spans="1:88" x14ac:dyDescent="0.35">
      <c r="A47" s="8"/>
      <c r="D47" s="4"/>
    </row>
    <row r="48" spans="1:88" x14ac:dyDescent="0.35">
      <c r="A48" s="9">
        <v>1</v>
      </c>
      <c r="B48" s="5" t="s">
        <v>33</v>
      </c>
      <c r="C48" s="5">
        <v>7347.8571428571431</v>
      </c>
      <c r="D48" s="5"/>
    </row>
    <row r="49" spans="1:4" x14ac:dyDescent="0.35">
      <c r="A49" s="9">
        <v>2</v>
      </c>
      <c r="B49" s="5" t="s">
        <v>34</v>
      </c>
      <c r="C49" s="5">
        <v>6160.7142857142862</v>
      </c>
      <c r="D49" s="5"/>
    </row>
    <row r="50" spans="1:4" x14ac:dyDescent="0.35">
      <c r="A50" s="9">
        <v>3</v>
      </c>
      <c r="B50" s="5" t="s">
        <v>37</v>
      </c>
      <c r="C50" s="5">
        <v>5537.1428571428578</v>
      </c>
      <c r="D50" s="5"/>
    </row>
    <row r="51" spans="1:4" x14ac:dyDescent="0.35">
      <c r="A51" s="9">
        <v>4</v>
      </c>
      <c r="B51" s="5" t="s">
        <v>35</v>
      </c>
      <c r="C51" s="5">
        <v>4612.1428571428578</v>
      </c>
      <c r="D51" s="5"/>
    </row>
    <row r="52" spans="1:4" x14ac:dyDescent="0.35">
      <c r="A52" s="9">
        <v>5</v>
      </c>
      <c r="B52" s="5" t="s">
        <v>36</v>
      </c>
      <c r="C52" s="5">
        <v>3458.5714285714289</v>
      </c>
      <c r="D52" s="5"/>
    </row>
    <row r="53" spans="1:4" x14ac:dyDescent="0.35">
      <c r="A53" s="9">
        <v>6</v>
      </c>
      <c r="B53" s="5" t="s">
        <v>33</v>
      </c>
      <c r="C53" s="5">
        <v>3429</v>
      </c>
      <c r="D53" s="5"/>
    </row>
    <row r="54" spans="1:4" x14ac:dyDescent="0.35">
      <c r="A54" s="9">
        <v>7</v>
      </c>
      <c r="B54" s="5" t="s">
        <v>34</v>
      </c>
      <c r="C54" s="5">
        <v>2875</v>
      </c>
      <c r="D54" s="5"/>
    </row>
    <row r="55" spans="1:4" x14ac:dyDescent="0.35">
      <c r="A55" s="9">
        <v>8</v>
      </c>
      <c r="B55" s="5" t="s">
        <v>37</v>
      </c>
      <c r="C55" s="5">
        <v>2584</v>
      </c>
      <c r="D55" s="5"/>
    </row>
    <row r="56" spans="1:4" x14ac:dyDescent="0.35">
      <c r="A56" s="9">
        <v>9</v>
      </c>
      <c r="B56" s="5" t="s">
        <v>35</v>
      </c>
      <c r="C56" s="5">
        <v>2152.3333333333335</v>
      </c>
      <c r="D56" s="5"/>
    </row>
    <row r="57" spans="1:4" x14ac:dyDescent="0.35">
      <c r="A57" s="9">
        <v>10</v>
      </c>
      <c r="B57" s="5" t="s">
        <v>33</v>
      </c>
      <c r="C57" s="5">
        <v>2057.4</v>
      </c>
      <c r="D57" s="5"/>
    </row>
    <row r="58" spans="1:4" x14ac:dyDescent="0.35">
      <c r="A58" s="9">
        <v>11</v>
      </c>
      <c r="B58" s="5" t="s">
        <v>34</v>
      </c>
      <c r="C58" s="5">
        <v>1725</v>
      </c>
      <c r="D58" s="5"/>
    </row>
    <row r="59" spans="1:4" x14ac:dyDescent="0.35">
      <c r="A59" s="9">
        <v>12</v>
      </c>
      <c r="B59" s="5" t="s">
        <v>36</v>
      </c>
      <c r="C59" s="5">
        <v>1614</v>
      </c>
      <c r="D59" s="5"/>
    </row>
    <row r="60" spans="1:4" x14ac:dyDescent="0.35">
      <c r="A60" s="9">
        <v>13</v>
      </c>
      <c r="B60" s="5" t="s">
        <v>37</v>
      </c>
      <c r="C60" s="5">
        <v>1550.4</v>
      </c>
      <c r="D60" s="5"/>
    </row>
    <row r="61" spans="1:4" x14ac:dyDescent="0.35">
      <c r="A61" s="9">
        <v>14</v>
      </c>
      <c r="B61" s="5" t="s">
        <v>33</v>
      </c>
      <c r="C61" s="5">
        <v>1469.5714285714287</v>
      </c>
      <c r="D61" s="5"/>
    </row>
    <row r="62" spans="1:4" x14ac:dyDescent="0.35">
      <c r="A62" s="9">
        <v>15</v>
      </c>
      <c r="B62" s="5" t="s">
        <v>35</v>
      </c>
      <c r="C62" s="5">
        <v>1291.4000000000001</v>
      </c>
      <c r="D62" s="5"/>
    </row>
    <row r="63" spans="1:4" x14ac:dyDescent="0.35">
      <c r="A63" s="9">
        <v>16</v>
      </c>
      <c r="B63" s="5" t="s">
        <v>31</v>
      </c>
      <c r="C63" s="5">
        <v>1252.8571428571429</v>
      </c>
      <c r="D63" s="5"/>
    </row>
    <row r="64" spans="1:4" x14ac:dyDescent="0.35">
      <c r="A64" s="9">
        <v>17</v>
      </c>
      <c r="B64" s="5" t="s">
        <v>34</v>
      </c>
      <c r="C64" s="5">
        <v>1232.1428571428571</v>
      </c>
      <c r="D64" s="5"/>
    </row>
    <row r="65" spans="1:4" x14ac:dyDescent="0.35">
      <c r="A65" s="9">
        <v>18</v>
      </c>
      <c r="B65" s="5" t="s">
        <v>32</v>
      </c>
      <c r="C65" s="5">
        <v>1170</v>
      </c>
      <c r="D65" s="5"/>
    </row>
    <row r="66" spans="1:4" x14ac:dyDescent="0.35">
      <c r="A66" s="9">
        <v>19</v>
      </c>
      <c r="B66" s="5" t="s">
        <v>33</v>
      </c>
      <c r="C66" s="5">
        <v>1143</v>
      </c>
      <c r="D66" s="5"/>
    </row>
    <row r="67" spans="1:4" x14ac:dyDescent="0.35">
      <c r="A67" s="9">
        <v>20</v>
      </c>
      <c r="B67" s="5" t="s">
        <v>37</v>
      </c>
      <c r="C67" s="5">
        <v>1107.4285714285713</v>
      </c>
      <c r="D67" s="5"/>
    </row>
    <row r="68" spans="1:4" x14ac:dyDescent="0.35">
      <c r="A68" s="9">
        <v>21</v>
      </c>
      <c r="B68" s="5" t="s">
        <v>36</v>
      </c>
      <c r="C68" s="5">
        <v>968.4</v>
      </c>
      <c r="D68" s="5"/>
    </row>
    <row r="69" spans="1:4" x14ac:dyDescent="0.35">
      <c r="A69" s="44">
        <v>22</v>
      </c>
      <c r="B69" s="45" t="s">
        <v>34</v>
      </c>
      <c r="C69" s="45">
        <v>958.33333333333337</v>
      </c>
      <c r="D69" s="45"/>
    </row>
    <row r="70" spans="1:4" x14ac:dyDescent="0.35">
      <c r="A70" s="9">
        <v>23</v>
      </c>
      <c r="B70" s="5" t="s">
        <v>33</v>
      </c>
      <c r="C70" s="5">
        <v>935.18181818181813</v>
      </c>
      <c r="D70" s="5"/>
    </row>
    <row r="71" spans="1:4" x14ac:dyDescent="0.35">
      <c r="A71" s="9">
        <v>24</v>
      </c>
      <c r="B71" s="5" t="s">
        <v>35</v>
      </c>
      <c r="C71" s="5">
        <v>922.42857142857144</v>
      </c>
      <c r="D71" s="5"/>
    </row>
    <row r="72" spans="1:4" x14ac:dyDescent="0.35">
      <c r="A72" s="9">
        <v>25</v>
      </c>
      <c r="B72" s="5" t="s">
        <v>30</v>
      </c>
      <c r="C72" s="5">
        <v>902.85714285714289</v>
      </c>
      <c r="D72" s="5"/>
    </row>
    <row r="73" spans="1:4" x14ac:dyDescent="0.35">
      <c r="A73" s="9">
        <v>26</v>
      </c>
      <c r="B73" s="5" t="s">
        <v>37</v>
      </c>
      <c r="C73" s="5">
        <v>861.33333333333337</v>
      </c>
      <c r="D73" s="5"/>
    </row>
    <row r="74" spans="1:4" x14ac:dyDescent="0.35">
      <c r="A74" s="9">
        <v>27</v>
      </c>
      <c r="B74" s="5" t="s">
        <v>33</v>
      </c>
      <c r="C74" s="5">
        <v>791.30769230769226</v>
      </c>
      <c r="D74" s="5"/>
    </row>
    <row r="75" spans="1:4" x14ac:dyDescent="0.35">
      <c r="A75" s="9">
        <v>28</v>
      </c>
      <c r="B75" s="5" t="s">
        <v>34</v>
      </c>
      <c r="C75" s="5">
        <v>784.09090909090912</v>
      </c>
      <c r="D75" s="5"/>
    </row>
    <row r="76" spans="1:4" x14ac:dyDescent="0.35">
      <c r="A76" s="9">
        <v>29</v>
      </c>
      <c r="B76" s="5" t="s">
        <v>35</v>
      </c>
      <c r="C76" s="5">
        <v>717.44444444444446</v>
      </c>
      <c r="D76" s="5"/>
    </row>
    <row r="77" spans="1:4" x14ac:dyDescent="0.35">
      <c r="A77" s="9">
        <v>30</v>
      </c>
      <c r="B77" s="5" t="s">
        <v>37</v>
      </c>
      <c r="C77" s="5">
        <v>704.72727272727275</v>
      </c>
      <c r="D77" s="5"/>
    </row>
    <row r="78" spans="1:4" x14ac:dyDescent="0.35">
      <c r="A78" s="9">
        <v>31</v>
      </c>
      <c r="B78" s="5" t="s">
        <v>36</v>
      </c>
      <c r="C78" s="5">
        <v>691.71428571428567</v>
      </c>
      <c r="D78" s="5"/>
    </row>
    <row r="79" spans="1:4" x14ac:dyDescent="0.35">
      <c r="A79" s="9">
        <v>32</v>
      </c>
      <c r="B79" s="5" t="s">
        <v>33</v>
      </c>
      <c r="C79" s="5">
        <v>685.8</v>
      </c>
      <c r="D79" s="5"/>
    </row>
    <row r="80" spans="1:4" x14ac:dyDescent="0.35">
      <c r="A80" s="9">
        <v>33</v>
      </c>
      <c r="B80" s="5" t="s">
        <v>34</v>
      </c>
      <c r="C80" s="5">
        <v>663.46153846153845</v>
      </c>
      <c r="D80" s="5"/>
    </row>
    <row r="81" spans="1:4" x14ac:dyDescent="0.35">
      <c r="A81" s="9">
        <v>34</v>
      </c>
      <c r="B81" s="5" t="s">
        <v>33</v>
      </c>
      <c r="C81" s="5">
        <v>605.11764705882354</v>
      </c>
      <c r="D81" s="5"/>
    </row>
    <row r="82" spans="1:4" x14ac:dyDescent="0.35">
      <c r="A82" s="9">
        <v>35</v>
      </c>
      <c r="B82" s="5" t="s">
        <v>37</v>
      </c>
      <c r="C82" s="5">
        <v>596.30769230769226</v>
      </c>
      <c r="D82" s="5"/>
    </row>
    <row r="83" spans="1:4" x14ac:dyDescent="0.35">
      <c r="A83" s="9">
        <v>36</v>
      </c>
      <c r="B83" s="5" t="s">
        <v>35</v>
      </c>
      <c r="C83" s="5">
        <v>587</v>
      </c>
      <c r="D83" s="5"/>
    </row>
    <row r="84" spans="1:4" x14ac:dyDescent="0.35">
      <c r="A84" s="9">
        <v>37</v>
      </c>
      <c r="B84" s="5" t="s">
        <v>31</v>
      </c>
      <c r="C84" s="5">
        <v>584.66666666666663</v>
      </c>
      <c r="D84" s="5"/>
    </row>
    <row r="85" spans="1:4" x14ac:dyDescent="0.35">
      <c r="A85" s="9">
        <v>38</v>
      </c>
      <c r="B85" s="5" t="s">
        <v>34</v>
      </c>
      <c r="C85" s="5">
        <v>575</v>
      </c>
      <c r="D85" s="5"/>
    </row>
    <row r="86" spans="1:4" x14ac:dyDescent="0.35">
      <c r="A86" s="9">
        <v>39</v>
      </c>
      <c r="B86" s="5" t="s">
        <v>32</v>
      </c>
      <c r="C86" s="5">
        <v>546</v>
      </c>
      <c r="D86" s="5"/>
    </row>
    <row r="87" spans="1:4" x14ac:dyDescent="0.35">
      <c r="A87" s="9">
        <v>40</v>
      </c>
      <c r="B87" s="5" t="s">
        <v>33</v>
      </c>
      <c r="C87" s="5">
        <v>541.42105263157896</v>
      </c>
      <c r="D87" s="5"/>
    </row>
    <row r="88" spans="1:4" x14ac:dyDescent="0.35">
      <c r="A88" s="9">
        <v>41</v>
      </c>
      <c r="B88" s="5" t="s">
        <v>36</v>
      </c>
      <c r="C88" s="5">
        <v>538</v>
      </c>
      <c r="D88" s="5"/>
    </row>
    <row r="89" spans="1:4" x14ac:dyDescent="0.35">
      <c r="A89" s="9">
        <v>42</v>
      </c>
      <c r="B89" s="5" t="s">
        <v>37</v>
      </c>
      <c r="C89" s="5">
        <v>516.79999999999995</v>
      </c>
      <c r="D89" s="5"/>
    </row>
    <row r="90" spans="1:4" x14ac:dyDescent="0.35">
      <c r="A90" s="9">
        <v>43</v>
      </c>
      <c r="B90" s="5" t="s">
        <v>34</v>
      </c>
      <c r="C90" s="5">
        <v>507.35294117647061</v>
      </c>
      <c r="D90" s="5"/>
    </row>
    <row r="91" spans="1:4" x14ac:dyDescent="0.35">
      <c r="A91" s="9">
        <v>44</v>
      </c>
      <c r="B91" s="5" t="s">
        <v>35</v>
      </c>
      <c r="C91" s="5">
        <v>496.69230769230768</v>
      </c>
      <c r="D91" s="5"/>
    </row>
    <row r="92" spans="1:4" x14ac:dyDescent="0.35">
      <c r="A92" s="9">
        <v>45</v>
      </c>
      <c r="B92" s="5" t="s">
        <v>33</v>
      </c>
      <c r="C92" s="5">
        <v>489.85714285714283</v>
      </c>
      <c r="D92" s="5"/>
    </row>
    <row r="93" spans="1:4" x14ac:dyDescent="0.35">
      <c r="A93" s="9">
        <v>46</v>
      </c>
      <c r="B93" s="5" t="s">
        <v>37</v>
      </c>
      <c r="C93" s="5">
        <v>456</v>
      </c>
      <c r="D93" s="5"/>
    </row>
    <row r="94" spans="1:4" x14ac:dyDescent="0.35">
      <c r="A94" s="9">
        <v>47</v>
      </c>
      <c r="B94" s="5" t="s">
        <v>34</v>
      </c>
      <c r="C94" s="5">
        <v>453.94736842105266</v>
      </c>
      <c r="D94" s="5"/>
    </row>
    <row r="95" spans="1:4" x14ac:dyDescent="0.35">
      <c r="A95" s="9">
        <v>48</v>
      </c>
      <c r="B95" s="5" t="s">
        <v>33</v>
      </c>
      <c r="C95" s="5">
        <v>447.26086956521738</v>
      </c>
      <c r="D95" s="5"/>
    </row>
    <row r="96" spans="1:4" x14ac:dyDescent="0.35">
      <c r="A96" s="9">
        <v>49</v>
      </c>
      <c r="B96" s="5" t="s">
        <v>36</v>
      </c>
      <c r="C96" s="5">
        <v>440.18181818181819</v>
      </c>
      <c r="D96" s="5"/>
    </row>
    <row r="97" spans="1:4" x14ac:dyDescent="0.35">
      <c r="A97" s="9">
        <v>50</v>
      </c>
      <c r="B97" s="5" t="s">
        <v>35</v>
      </c>
      <c r="C97" s="5">
        <v>430.46666666666664</v>
      </c>
      <c r="D97" s="5"/>
    </row>
    <row r="98" spans="1:4" x14ac:dyDescent="0.35">
      <c r="A98" s="9">
        <v>51</v>
      </c>
      <c r="B98" s="5" t="s">
        <v>30</v>
      </c>
      <c r="C98" s="5">
        <v>421.33333333333331</v>
      </c>
      <c r="D98" s="5"/>
    </row>
    <row r="99" spans="1:4" x14ac:dyDescent="0.35">
      <c r="A99" s="9">
        <v>52</v>
      </c>
      <c r="B99" s="5" t="s">
        <v>33</v>
      </c>
      <c r="C99" s="5">
        <v>411.48</v>
      </c>
      <c r="D99" s="5"/>
    </row>
    <row r="100" spans="1:4" x14ac:dyDescent="0.35">
      <c r="A100" s="9">
        <v>53</v>
      </c>
      <c r="B100" s="5" t="s">
        <v>34</v>
      </c>
      <c r="C100" s="5">
        <v>410.71428571428572</v>
      </c>
      <c r="D100" s="5"/>
    </row>
    <row r="101" spans="1:4" x14ac:dyDescent="0.35">
      <c r="A101" s="9">
        <v>54</v>
      </c>
      <c r="B101" s="5" t="s">
        <v>37</v>
      </c>
      <c r="C101" s="5">
        <v>408</v>
      </c>
      <c r="D101" s="5"/>
    </row>
    <row r="102" spans="1:4" x14ac:dyDescent="0.35">
      <c r="A102" s="9">
        <v>55</v>
      </c>
      <c r="B102" s="5" t="s">
        <v>33</v>
      </c>
      <c r="C102" s="5">
        <v>381</v>
      </c>
      <c r="D102" s="5"/>
    </row>
    <row r="103" spans="1:4" x14ac:dyDescent="0.35">
      <c r="A103" s="9">
        <v>56</v>
      </c>
      <c r="B103" s="5" t="s">
        <v>35</v>
      </c>
      <c r="C103" s="5">
        <v>379.8235294117647</v>
      </c>
      <c r="D103" s="5"/>
    </row>
    <row r="104" spans="1:4" x14ac:dyDescent="0.35">
      <c r="A104" s="9">
        <v>57</v>
      </c>
      <c r="B104" s="5" t="s">
        <v>34</v>
      </c>
      <c r="C104" s="5">
        <v>375</v>
      </c>
      <c r="D104" s="5"/>
    </row>
    <row r="105" spans="1:4" x14ac:dyDescent="0.35">
      <c r="A105" s="9">
        <v>58</v>
      </c>
      <c r="B105" s="5" t="s">
        <v>36</v>
      </c>
      <c r="C105" s="5">
        <v>372.46153846153845</v>
      </c>
      <c r="D105" s="5"/>
    </row>
    <row r="106" spans="1:4" x14ac:dyDescent="0.35">
      <c r="A106" s="9">
        <v>59</v>
      </c>
      <c r="B106" s="5" t="s">
        <v>37</v>
      </c>
      <c r="C106" s="5">
        <v>369.14285714285717</v>
      </c>
      <c r="D106" s="5"/>
    </row>
    <row r="107" spans="1:4" x14ac:dyDescent="0.35">
      <c r="A107" s="9">
        <v>60</v>
      </c>
      <c r="B107" s="5" t="s">
        <v>33</v>
      </c>
      <c r="C107" s="5">
        <v>354.72413793103448</v>
      </c>
      <c r="D107" s="5"/>
    </row>
    <row r="108" spans="1:4" x14ac:dyDescent="0.35">
      <c r="A108" s="9">
        <v>61</v>
      </c>
      <c r="B108" s="5" t="s">
        <v>31</v>
      </c>
      <c r="C108" s="5">
        <v>350.8</v>
      </c>
      <c r="D108" s="5"/>
    </row>
    <row r="109" spans="1:4" x14ac:dyDescent="0.35">
      <c r="A109" s="9">
        <v>62</v>
      </c>
      <c r="B109" s="5" t="s">
        <v>34</v>
      </c>
      <c r="C109" s="5">
        <v>345</v>
      </c>
      <c r="D109" s="5"/>
    </row>
    <row r="110" spans="1:4" x14ac:dyDescent="0.35">
      <c r="A110" s="9">
        <v>63</v>
      </c>
      <c r="B110" s="5" t="s">
        <v>35</v>
      </c>
      <c r="C110" s="5">
        <v>339.84210526315792</v>
      </c>
      <c r="D110" s="5"/>
    </row>
    <row r="111" spans="1:4" x14ac:dyDescent="0.35">
      <c r="A111" s="9">
        <v>64</v>
      </c>
      <c r="B111" s="5" t="s">
        <v>37</v>
      </c>
      <c r="C111" s="5">
        <v>337.04347826086956</v>
      </c>
      <c r="D111" s="5"/>
    </row>
    <row r="112" spans="1:4" x14ac:dyDescent="0.35">
      <c r="A112" s="9">
        <v>65</v>
      </c>
      <c r="B112" s="5" t="s">
        <v>33</v>
      </c>
      <c r="C112" s="5">
        <v>331.83870967741933</v>
      </c>
      <c r="D112" s="5"/>
    </row>
    <row r="113" spans="1:4" x14ac:dyDescent="0.35">
      <c r="A113" s="9">
        <v>66</v>
      </c>
      <c r="B113" s="5" t="s">
        <v>32</v>
      </c>
      <c r="C113" s="5">
        <v>327.60000000000002</v>
      </c>
      <c r="D113" s="5"/>
    </row>
    <row r="114" spans="1:4" x14ac:dyDescent="0.35">
      <c r="A114" s="9">
        <v>67</v>
      </c>
      <c r="B114" s="5" t="s">
        <v>36</v>
      </c>
      <c r="C114" s="5">
        <v>322.8</v>
      </c>
      <c r="D114" s="5"/>
    </row>
    <row r="115" spans="1:4" x14ac:dyDescent="0.35">
      <c r="A115" s="9">
        <v>68</v>
      </c>
      <c r="B115" s="5" t="s">
        <v>34</v>
      </c>
      <c r="C115" s="5">
        <v>319.44444444444446</v>
      </c>
      <c r="D115" s="5"/>
    </row>
    <row r="116" spans="1:4" x14ac:dyDescent="0.35">
      <c r="A116" s="9">
        <v>69</v>
      </c>
      <c r="B116" s="5" t="s">
        <v>33</v>
      </c>
      <c r="C116" s="5">
        <v>311.72727272727275</v>
      </c>
      <c r="D116" s="5"/>
    </row>
    <row r="117" spans="1:4" x14ac:dyDescent="0.35">
      <c r="A117" s="9">
        <v>70</v>
      </c>
      <c r="B117" s="5" t="s">
        <v>37</v>
      </c>
      <c r="C117" s="5">
        <v>310.08</v>
      </c>
      <c r="D117" s="5"/>
    </row>
    <row r="118" spans="1:4" x14ac:dyDescent="0.35">
      <c r="A118" s="9">
        <v>71</v>
      </c>
      <c r="B118" s="5" t="s">
        <v>35</v>
      </c>
      <c r="C118" s="5">
        <v>307.47619047619048</v>
      </c>
      <c r="D118" s="5"/>
    </row>
    <row r="119" spans="1:4" x14ac:dyDescent="0.35">
      <c r="A119" s="9">
        <v>72</v>
      </c>
      <c r="B119" s="5" t="s">
        <v>34</v>
      </c>
      <c r="C119" s="5">
        <v>297.41379310344826</v>
      </c>
      <c r="D119" s="5"/>
    </row>
    <row r="120" spans="1:4" x14ac:dyDescent="0.35">
      <c r="A120" s="9">
        <v>73</v>
      </c>
      <c r="B120" s="5" t="s">
        <v>33</v>
      </c>
      <c r="C120" s="5">
        <v>293.91428571428571</v>
      </c>
      <c r="D120" s="5"/>
    </row>
    <row r="121" spans="1:4" x14ac:dyDescent="0.35">
      <c r="A121" s="9">
        <v>74</v>
      </c>
      <c r="B121" s="5" t="s">
        <v>37</v>
      </c>
      <c r="C121" s="5">
        <v>287.11111111111109</v>
      </c>
      <c r="D121" s="5"/>
    </row>
    <row r="122" spans="1:4" x14ac:dyDescent="0.35">
      <c r="A122" s="9">
        <v>75</v>
      </c>
      <c r="B122" s="5" t="s">
        <v>36</v>
      </c>
      <c r="C122" s="5">
        <v>284.8235294117647</v>
      </c>
      <c r="D122" s="5"/>
    </row>
    <row r="123" spans="1:4" x14ac:dyDescent="0.35">
      <c r="A123" s="9">
        <v>76</v>
      </c>
      <c r="B123" s="5" t="s">
        <v>35</v>
      </c>
      <c r="C123" s="5">
        <v>280.73913043478262</v>
      </c>
      <c r="D123" s="5"/>
    </row>
    <row r="124" spans="1:4" x14ac:dyDescent="0.35">
      <c r="A124" s="9">
        <v>77</v>
      </c>
      <c r="B124" s="5" t="s">
        <v>34</v>
      </c>
      <c r="C124" s="5">
        <v>278.22580645161293</v>
      </c>
      <c r="D124" s="5"/>
    </row>
    <row r="125" spans="1:4" x14ac:dyDescent="0.35">
      <c r="A125" s="9">
        <v>78</v>
      </c>
      <c r="B125" s="5" t="s">
        <v>33</v>
      </c>
      <c r="C125" s="5">
        <v>278.02702702702703</v>
      </c>
      <c r="D125" s="5"/>
    </row>
    <row r="126" spans="1:4" x14ac:dyDescent="0.35">
      <c r="A126" s="9">
        <v>79</v>
      </c>
      <c r="B126" s="5" t="s">
        <v>37</v>
      </c>
      <c r="C126" s="5">
        <v>267.31034482758622</v>
      </c>
      <c r="D126" s="5"/>
    </row>
    <row r="127" spans="1:4" x14ac:dyDescent="0.35">
      <c r="A127" s="9">
        <v>80</v>
      </c>
      <c r="B127" s="5" t="s">
        <v>33</v>
      </c>
      <c r="C127" s="5">
        <v>263.76923076923077</v>
      </c>
      <c r="D127" s="5"/>
    </row>
    <row r="128" spans="1:4" x14ac:dyDescent="0.35">
      <c r="A128" s="9">
        <v>81</v>
      </c>
      <c r="B128" s="5" t="s">
        <v>34</v>
      </c>
      <c r="C128" s="5">
        <v>261.36363636363637</v>
      </c>
      <c r="D128" s="5"/>
    </row>
    <row r="129" spans="1:4" x14ac:dyDescent="0.35">
      <c r="A129" s="9">
        <v>82</v>
      </c>
      <c r="B129" s="5" t="s">
        <v>35</v>
      </c>
      <c r="C129" s="5">
        <v>258.27999999999997</v>
      </c>
      <c r="D129" s="5"/>
    </row>
    <row r="130" spans="1:4" x14ac:dyDescent="0.35">
      <c r="A130" s="9">
        <v>83</v>
      </c>
      <c r="B130" s="5" t="s">
        <v>36</v>
      </c>
      <c r="C130" s="5">
        <v>254.84210526315789</v>
      </c>
      <c r="D130" s="5"/>
    </row>
    <row r="131" spans="1:4" x14ac:dyDescent="0.35">
      <c r="A131" s="9">
        <v>84</v>
      </c>
      <c r="B131" s="5" t="s">
        <v>30</v>
      </c>
      <c r="C131" s="5">
        <v>252.8</v>
      </c>
      <c r="D131" s="5"/>
    </row>
    <row r="132" spans="1:4" x14ac:dyDescent="0.35">
      <c r="A132" s="9">
        <v>85</v>
      </c>
      <c r="B132" s="5" t="s">
        <v>33</v>
      </c>
      <c r="C132" s="5">
        <v>250.90243902439025</v>
      </c>
      <c r="D132" s="5"/>
    </row>
    <row r="133" spans="1:4" x14ac:dyDescent="0.35">
      <c r="A133" s="9">
        <v>86</v>
      </c>
      <c r="B133" s="5" t="s">
        <v>31</v>
      </c>
      <c r="C133" s="5">
        <v>250.57142857142858</v>
      </c>
      <c r="D133" s="5"/>
    </row>
    <row r="134" spans="1:4" x14ac:dyDescent="0.35">
      <c r="A134" s="9">
        <v>87</v>
      </c>
      <c r="B134" s="5" t="s">
        <v>37</v>
      </c>
      <c r="C134" s="5">
        <v>250.06451612903226</v>
      </c>
      <c r="D134" s="5"/>
    </row>
    <row r="135" spans="1:4" x14ac:dyDescent="0.35">
      <c r="A135" s="9">
        <v>88</v>
      </c>
      <c r="B135" s="5" t="s">
        <v>34</v>
      </c>
      <c r="C135" s="5">
        <v>246.42857142857142</v>
      </c>
      <c r="D135" s="5"/>
    </row>
    <row r="136" spans="1:4" x14ac:dyDescent="0.35">
      <c r="A136" s="9">
        <v>89</v>
      </c>
      <c r="B136" s="5" t="s">
        <v>33</v>
      </c>
      <c r="C136" s="5">
        <v>239.23255813953489</v>
      </c>
      <c r="D136" s="5"/>
    </row>
    <row r="137" spans="1:4" x14ac:dyDescent="0.35">
      <c r="A137" s="9">
        <v>90</v>
      </c>
      <c r="B137" s="5" t="s">
        <v>35</v>
      </c>
      <c r="C137" s="5">
        <v>239.14814814814815</v>
      </c>
      <c r="D137" s="5"/>
    </row>
    <row r="138" spans="1:4" x14ac:dyDescent="0.35">
      <c r="A138" s="9">
        <v>91</v>
      </c>
      <c r="B138" s="5" t="s">
        <v>37</v>
      </c>
      <c r="C138" s="5">
        <v>234.90909090909091</v>
      </c>
      <c r="D138" s="5"/>
    </row>
    <row r="139" spans="1:4" x14ac:dyDescent="0.35">
      <c r="A139" s="9">
        <v>92</v>
      </c>
      <c r="B139" s="5" t="s">
        <v>32</v>
      </c>
      <c r="C139" s="5">
        <v>234</v>
      </c>
      <c r="D139" s="5"/>
    </row>
    <row r="140" spans="1:4" x14ac:dyDescent="0.35">
      <c r="A140" s="9">
        <v>93</v>
      </c>
      <c r="B140" s="5" t="s">
        <v>34</v>
      </c>
      <c r="C140" s="5">
        <v>233.1081081081081</v>
      </c>
      <c r="D140" s="5"/>
    </row>
    <row r="141" spans="1:4" x14ac:dyDescent="0.35">
      <c r="A141" s="9">
        <v>94</v>
      </c>
      <c r="B141" s="5" t="s">
        <v>36</v>
      </c>
      <c r="C141" s="5">
        <v>230.57142857142858</v>
      </c>
      <c r="D141" s="5"/>
    </row>
    <row r="142" spans="1:4" x14ac:dyDescent="0.35">
      <c r="A142" s="9">
        <v>95</v>
      </c>
      <c r="B142" s="5" t="s">
        <v>33</v>
      </c>
      <c r="C142" s="5">
        <v>228.6</v>
      </c>
      <c r="D142" s="5"/>
    </row>
    <row r="143" spans="1:4" x14ac:dyDescent="0.35">
      <c r="A143" s="9">
        <v>96</v>
      </c>
      <c r="B143" s="5" t="s">
        <v>35</v>
      </c>
      <c r="C143" s="5">
        <v>222.65517241379311</v>
      </c>
      <c r="D143" s="5"/>
    </row>
    <row r="144" spans="1:4" x14ac:dyDescent="0.35">
      <c r="A144" s="9">
        <v>97</v>
      </c>
      <c r="B144" s="5" t="s">
        <v>37</v>
      </c>
      <c r="C144" s="5">
        <v>221.48571428571429</v>
      </c>
      <c r="D144" s="5"/>
    </row>
    <row r="145" spans="1:4" x14ac:dyDescent="0.35">
      <c r="A145" s="9">
        <v>98</v>
      </c>
      <c r="B145" s="5" t="s">
        <v>34</v>
      </c>
      <c r="C145" s="5">
        <v>221.15384615384616</v>
      </c>
      <c r="D145" s="5"/>
    </row>
    <row r="146" spans="1:4" x14ac:dyDescent="0.35">
      <c r="A146" s="9">
        <v>99</v>
      </c>
      <c r="B146" s="5" t="s">
        <v>33</v>
      </c>
      <c r="C146" s="5">
        <v>218.87234042553192</v>
      </c>
      <c r="D146" s="5"/>
    </row>
    <row r="147" spans="1:4" x14ac:dyDescent="0.35">
      <c r="A147" s="9">
        <v>100</v>
      </c>
      <c r="B147" s="5" t="s">
        <v>36</v>
      </c>
      <c r="C147" s="5">
        <v>210.52173913043478</v>
      </c>
      <c r="D147" s="5"/>
    </row>
    <row r="148" spans="1:4" x14ac:dyDescent="0.35">
      <c r="A148" s="9">
        <v>101</v>
      </c>
      <c r="B148" s="5" t="s">
        <v>34</v>
      </c>
      <c r="C148" s="5">
        <v>210.36585365853659</v>
      </c>
      <c r="D148" s="5"/>
    </row>
    <row r="149" spans="1:4" x14ac:dyDescent="0.35">
      <c r="A149" s="9">
        <v>102</v>
      </c>
      <c r="B149" s="5" t="s">
        <v>33</v>
      </c>
      <c r="C149" s="5">
        <v>209.9387755102041</v>
      </c>
      <c r="D149" s="5"/>
    </row>
    <row r="150" spans="1:4" x14ac:dyDescent="0.35">
      <c r="A150" s="9">
        <v>103</v>
      </c>
      <c r="B150" s="5" t="s">
        <v>37</v>
      </c>
      <c r="C150" s="5">
        <v>209.51351351351352</v>
      </c>
      <c r="D150" s="5"/>
    </row>
    <row r="151" spans="1:4" x14ac:dyDescent="0.35">
      <c r="A151" s="9">
        <v>104</v>
      </c>
      <c r="B151" s="5" t="s">
        <v>35</v>
      </c>
      <c r="C151" s="5">
        <v>208.29032258064515</v>
      </c>
      <c r="D151" s="5"/>
    </row>
    <row r="152" spans="1:4" x14ac:dyDescent="0.35">
      <c r="A152" s="9">
        <v>105</v>
      </c>
      <c r="B152" s="5" t="s">
        <v>33</v>
      </c>
      <c r="C152" s="5">
        <v>201.70588235294119</v>
      </c>
      <c r="D152" s="5"/>
    </row>
    <row r="153" spans="1:4" x14ac:dyDescent="0.35">
      <c r="A153" s="9">
        <v>106</v>
      </c>
      <c r="B153" s="5" t="s">
        <v>34</v>
      </c>
      <c r="C153" s="5">
        <v>200.58139534883722</v>
      </c>
      <c r="D153" s="5"/>
    </row>
    <row r="154" spans="1:4" x14ac:dyDescent="0.35">
      <c r="A154" s="9">
        <v>107</v>
      </c>
      <c r="B154" s="5" t="s">
        <v>37</v>
      </c>
      <c r="C154" s="5">
        <v>198.76923076923077</v>
      </c>
      <c r="D154" s="5"/>
    </row>
    <row r="155" spans="1:4" x14ac:dyDescent="0.35">
      <c r="A155" s="9">
        <v>108</v>
      </c>
      <c r="B155" s="5" t="s">
        <v>35</v>
      </c>
      <c r="C155" s="5">
        <v>195.66666666666666</v>
      </c>
      <c r="D155" s="5"/>
    </row>
    <row r="156" spans="1:4" x14ac:dyDescent="0.35">
      <c r="A156" s="9">
        <v>109</v>
      </c>
      <c r="B156" s="5" t="s">
        <v>31</v>
      </c>
      <c r="C156" s="5">
        <v>194.88888888888889</v>
      </c>
      <c r="D156" s="5"/>
    </row>
    <row r="157" spans="1:4" x14ac:dyDescent="0.35">
      <c r="A157" s="9">
        <v>110</v>
      </c>
      <c r="B157" s="5" t="s">
        <v>33</v>
      </c>
      <c r="C157" s="5">
        <v>194.09433962264151</v>
      </c>
      <c r="D157" s="5"/>
    </row>
    <row r="158" spans="1:4" x14ac:dyDescent="0.35">
      <c r="A158" s="9">
        <v>111</v>
      </c>
      <c r="B158" s="5" t="s">
        <v>36</v>
      </c>
      <c r="C158" s="5">
        <v>193.68</v>
      </c>
      <c r="D158" s="5"/>
    </row>
    <row r="159" spans="1:4" x14ac:dyDescent="0.35">
      <c r="A159" s="9">
        <v>112</v>
      </c>
      <c r="B159" s="5" t="s">
        <v>34</v>
      </c>
      <c r="C159" s="5">
        <v>191.66666666666666</v>
      </c>
      <c r="D159" s="5"/>
    </row>
    <row r="160" spans="1:4" x14ac:dyDescent="0.35">
      <c r="A160" s="9">
        <v>113</v>
      </c>
      <c r="B160" s="5" t="s">
        <v>37</v>
      </c>
      <c r="C160" s="5">
        <v>189.07317073170731</v>
      </c>
      <c r="D160" s="5"/>
    </row>
    <row r="161" spans="1:4" x14ac:dyDescent="0.35">
      <c r="A161" s="9">
        <v>114</v>
      </c>
      <c r="B161" s="5" t="s">
        <v>33</v>
      </c>
      <c r="C161" s="5">
        <v>187.03636363636363</v>
      </c>
      <c r="D161" s="5"/>
    </row>
    <row r="162" spans="1:4" x14ac:dyDescent="0.35">
      <c r="A162" s="9">
        <v>115</v>
      </c>
      <c r="B162" s="5" t="s">
        <v>35</v>
      </c>
      <c r="C162" s="5">
        <v>184.48571428571429</v>
      </c>
      <c r="D162" s="5"/>
    </row>
    <row r="163" spans="1:4" x14ac:dyDescent="0.35">
      <c r="A163" s="9">
        <v>116</v>
      </c>
      <c r="B163" s="5" t="s">
        <v>34</v>
      </c>
      <c r="C163" s="5">
        <v>183.51063829787233</v>
      </c>
      <c r="D163" s="5"/>
    </row>
    <row r="164" spans="1:4" x14ac:dyDescent="0.35">
      <c r="A164" s="9">
        <v>117</v>
      </c>
      <c r="B164" s="5" t="s">
        <v>32</v>
      </c>
      <c r="C164" s="5">
        <v>182</v>
      </c>
      <c r="D164" s="5"/>
    </row>
    <row r="165" spans="1:4" x14ac:dyDescent="0.35">
      <c r="A165" s="9">
        <v>118</v>
      </c>
      <c r="B165" s="5" t="s">
        <v>30</v>
      </c>
      <c r="C165" s="5">
        <v>180.57142857142858</v>
      </c>
      <c r="D165" s="5"/>
    </row>
    <row r="166" spans="1:4" x14ac:dyDescent="0.35">
      <c r="A166" s="9">
        <v>119</v>
      </c>
      <c r="B166" s="5" t="s">
        <v>33</v>
      </c>
      <c r="C166" s="5">
        <v>180.47368421052633</v>
      </c>
      <c r="D166" s="5"/>
    </row>
    <row r="167" spans="1:4" x14ac:dyDescent="0.35">
      <c r="A167" s="9">
        <v>120</v>
      </c>
      <c r="B167" s="5" t="s">
        <v>37</v>
      </c>
      <c r="C167" s="5">
        <v>180.27906976744185</v>
      </c>
      <c r="D167" s="5"/>
    </row>
    <row r="168" spans="1:4" x14ac:dyDescent="0.35">
      <c r="A168" s="9">
        <v>121</v>
      </c>
      <c r="B168" s="5" t="s">
        <v>36</v>
      </c>
      <c r="C168" s="5">
        <v>179.33333333333334</v>
      </c>
      <c r="D168" s="5"/>
    </row>
    <row r="169" spans="1:4" x14ac:dyDescent="0.35">
      <c r="A169" s="9">
        <v>122</v>
      </c>
      <c r="B169" s="5" t="s">
        <v>34</v>
      </c>
      <c r="C169" s="5">
        <v>176.0204081632653</v>
      </c>
      <c r="D169" s="5"/>
    </row>
    <row r="170" spans="1:4" x14ac:dyDescent="0.35">
      <c r="A170" s="9">
        <v>123</v>
      </c>
      <c r="B170" s="5" t="s">
        <v>35</v>
      </c>
      <c r="C170" s="5">
        <v>174.51351351351352</v>
      </c>
      <c r="D170" s="5"/>
    </row>
    <row r="171" spans="1:4" x14ac:dyDescent="0.35">
      <c r="A171" s="9">
        <v>124</v>
      </c>
      <c r="B171" s="5" t="s">
        <v>33</v>
      </c>
      <c r="C171" s="5">
        <v>174.35593220338984</v>
      </c>
      <c r="D171" s="5"/>
    </row>
    <row r="172" spans="1:4" x14ac:dyDescent="0.35">
      <c r="A172" s="9">
        <v>125</v>
      </c>
      <c r="B172" s="5" t="s">
        <v>37</v>
      </c>
      <c r="C172" s="5">
        <v>172.26666666666668</v>
      </c>
      <c r="D172" s="5"/>
    </row>
    <row r="173" spans="1:4" x14ac:dyDescent="0.35">
      <c r="A173" s="9">
        <v>126</v>
      </c>
      <c r="B173" s="5" t="s">
        <v>34</v>
      </c>
      <c r="C173" s="5">
        <v>169.11764705882354</v>
      </c>
      <c r="D173" s="5"/>
    </row>
    <row r="174" spans="1:4" x14ac:dyDescent="0.35">
      <c r="A174" s="9">
        <v>127</v>
      </c>
      <c r="B174" s="5" t="s">
        <v>33</v>
      </c>
      <c r="C174" s="5">
        <v>168.63934426229508</v>
      </c>
      <c r="D174" s="5"/>
    </row>
    <row r="175" spans="1:4" x14ac:dyDescent="0.35">
      <c r="A175" s="9">
        <v>128</v>
      </c>
      <c r="B175" s="5" t="s">
        <v>36</v>
      </c>
      <c r="C175" s="5">
        <v>166.9655172413793</v>
      </c>
      <c r="D175" s="5"/>
    </row>
    <row r="176" spans="1:4" x14ac:dyDescent="0.35">
      <c r="A176" s="9">
        <v>129</v>
      </c>
      <c r="B176" s="5" t="s">
        <v>35</v>
      </c>
      <c r="C176" s="5">
        <v>165.56410256410257</v>
      </c>
      <c r="D176" s="5"/>
    </row>
    <row r="177" spans="1:4" x14ac:dyDescent="0.35">
      <c r="A177" s="9">
        <v>130</v>
      </c>
      <c r="B177" s="5" t="s">
        <v>37</v>
      </c>
      <c r="C177" s="5">
        <v>164.93617021276594</v>
      </c>
      <c r="D177" s="5"/>
    </row>
    <row r="178" spans="1:4" x14ac:dyDescent="0.35">
      <c r="A178" s="9">
        <v>131</v>
      </c>
      <c r="B178" s="5" t="s">
        <v>33</v>
      </c>
      <c r="C178" s="5">
        <v>163.28571428571428</v>
      </c>
      <c r="D178" s="5"/>
    </row>
    <row r="179" spans="1:4" x14ac:dyDescent="0.35">
      <c r="A179" s="9">
        <v>132</v>
      </c>
      <c r="B179" s="5" t="s">
        <v>34</v>
      </c>
      <c r="C179" s="5">
        <v>162.73584905660377</v>
      </c>
      <c r="D179" s="5"/>
    </row>
    <row r="180" spans="1:4" x14ac:dyDescent="0.35">
      <c r="A180" s="9">
        <v>133</v>
      </c>
      <c r="B180" s="5" t="s">
        <v>31</v>
      </c>
      <c r="C180" s="5">
        <v>159.45454545454547</v>
      </c>
      <c r="D180" s="5"/>
    </row>
    <row r="181" spans="1:4" x14ac:dyDescent="0.35">
      <c r="A181" s="9">
        <v>134</v>
      </c>
      <c r="B181" s="5" t="s">
        <v>33</v>
      </c>
      <c r="C181" s="5">
        <v>158.26153846153846</v>
      </c>
      <c r="D181" s="5"/>
    </row>
    <row r="182" spans="1:4" x14ac:dyDescent="0.35">
      <c r="A182" s="9">
        <v>135</v>
      </c>
      <c r="B182" s="5" t="s">
        <v>37</v>
      </c>
      <c r="C182" s="5">
        <v>158.20408163265307</v>
      </c>
      <c r="D182" s="5"/>
    </row>
    <row r="183" spans="1:4" x14ac:dyDescent="0.35">
      <c r="A183" s="9">
        <v>136</v>
      </c>
      <c r="B183" s="5" t="s">
        <v>35</v>
      </c>
      <c r="C183" s="5">
        <v>157.48780487804879</v>
      </c>
      <c r="D183" s="5"/>
    </row>
    <row r="184" spans="1:4" x14ac:dyDescent="0.35">
      <c r="A184" s="9">
        <v>137</v>
      </c>
      <c r="B184" s="5" t="s">
        <v>34</v>
      </c>
      <c r="C184" s="5">
        <v>156.81818181818181</v>
      </c>
      <c r="D184" s="5"/>
    </row>
    <row r="185" spans="1:4" x14ac:dyDescent="0.35">
      <c r="A185" s="9">
        <v>138</v>
      </c>
      <c r="B185" s="5" t="s">
        <v>36</v>
      </c>
      <c r="C185" s="5">
        <v>156.19354838709677</v>
      </c>
      <c r="D185" s="5"/>
    </row>
    <row r="186" spans="1:4" x14ac:dyDescent="0.35">
      <c r="A186" s="9">
        <v>139</v>
      </c>
      <c r="B186" s="5" t="s">
        <v>33</v>
      </c>
      <c r="C186" s="5">
        <v>153.53731343283582</v>
      </c>
      <c r="D186" s="5"/>
    </row>
    <row r="187" spans="1:4" x14ac:dyDescent="0.35">
      <c r="A187" s="9">
        <v>140</v>
      </c>
      <c r="B187" s="5" t="s">
        <v>37</v>
      </c>
      <c r="C187" s="5">
        <v>152</v>
      </c>
      <c r="D187" s="5"/>
    </row>
    <row r="188" spans="1:4" x14ac:dyDescent="0.35">
      <c r="A188" s="9">
        <v>141</v>
      </c>
      <c r="B188" s="5" t="s">
        <v>34</v>
      </c>
      <c r="C188" s="5">
        <v>151.31578947368422</v>
      </c>
      <c r="D188" s="5"/>
    </row>
    <row r="189" spans="1:4" x14ac:dyDescent="0.35">
      <c r="A189" s="9">
        <v>142</v>
      </c>
      <c r="B189" s="5" t="s">
        <v>35</v>
      </c>
      <c r="C189" s="5">
        <v>150.16279069767441</v>
      </c>
      <c r="D189" s="5"/>
    </row>
    <row r="190" spans="1:4" x14ac:dyDescent="0.35">
      <c r="A190" s="9">
        <v>143</v>
      </c>
      <c r="B190" s="5" t="s">
        <v>33</v>
      </c>
      <c r="C190" s="5">
        <v>149.08695652173913</v>
      </c>
      <c r="D190" s="5"/>
    </row>
    <row r="191" spans="1:4" x14ac:dyDescent="0.35">
      <c r="A191" s="9">
        <v>144</v>
      </c>
      <c r="B191" s="5" t="s">
        <v>32</v>
      </c>
      <c r="C191" s="5">
        <v>148.90909090909091</v>
      </c>
      <c r="D191" s="5"/>
    </row>
    <row r="192" spans="1:4" x14ac:dyDescent="0.35">
      <c r="A192" s="9">
        <v>145</v>
      </c>
      <c r="B192" s="5" t="s">
        <v>36</v>
      </c>
      <c r="C192" s="5">
        <v>146.72727272727272</v>
      </c>
      <c r="D192" s="5"/>
    </row>
    <row r="193" spans="1:4" x14ac:dyDescent="0.35">
      <c r="A193" s="9">
        <v>146</v>
      </c>
      <c r="B193" s="5" t="s">
        <v>37</v>
      </c>
      <c r="C193" s="5">
        <v>146.26415094339623</v>
      </c>
      <c r="D193" s="5"/>
    </row>
    <row r="194" spans="1:4" x14ac:dyDescent="0.35">
      <c r="A194" s="9">
        <v>147</v>
      </c>
      <c r="B194" s="5" t="s">
        <v>34</v>
      </c>
      <c r="C194" s="5">
        <v>146.18644067796609</v>
      </c>
      <c r="D194" s="5"/>
    </row>
    <row r="195" spans="1:4" x14ac:dyDescent="0.35">
      <c r="A195" s="9">
        <v>148</v>
      </c>
      <c r="B195" s="5" t="s">
        <v>33</v>
      </c>
      <c r="C195" s="5">
        <v>144.88732394366198</v>
      </c>
      <c r="D195" s="5"/>
    </row>
    <row r="196" spans="1:4" x14ac:dyDescent="0.35">
      <c r="A196" s="9">
        <v>149</v>
      </c>
      <c r="B196" s="5" t="s">
        <v>35</v>
      </c>
      <c r="C196" s="5">
        <v>143.48888888888888</v>
      </c>
      <c r="D196" s="5"/>
    </row>
    <row r="197" spans="1:4" x14ac:dyDescent="0.35">
      <c r="A197" s="9">
        <v>150</v>
      </c>
      <c r="B197" s="5" t="s">
        <v>34</v>
      </c>
      <c r="C197" s="5">
        <v>141.39344262295083</v>
      </c>
      <c r="D197" s="5"/>
    </row>
    <row r="198" spans="1:4" x14ac:dyDescent="0.35">
      <c r="A198" s="9">
        <v>151</v>
      </c>
      <c r="B198" s="5" t="s">
        <v>37</v>
      </c>
      <c r="C198" s="5">
        <v>140.94545454545454</v>
      </c>
      <c r="D198" s="5"/>
    </row>
    <row r="199" spans="1:4" x14ac:dyDescent="0.35">
      <c r="A199" s="9">
        <v>152</v>
      </c>
      <c r="B199" s="5" t="s">
        <v>33</v>
      </c>
      <c r="C199" s="5">
        <v>140.91780821917808</v>
      </c>
      <c r="D199" s="5"/>
    </row>
    <row r="200" spans="1:4" x14ac:dyDescent="0.35">
      <c r="A200" s="9">
        <v>153</v>
      </c>
      <c r="B200" s="5" t="s">
        <v>30</v>
      </c>
      <c r="C200" s="5">
        <v>140.44444444444446</v>
      </c>
      <c r="D200" s="5"/>
    </row>
    <row r="201" spans="1:4" x14ac:dyDescent="0.35">
      <c r="A201" s="9">
        <v>154</v>
      </c>
      <c r="B201" s="5" t="s">
        <v>36</v>
      </c>
      <c r="C201" s="5">
        <v>138.34285714285716</v>
      </c>
      <c r="D201" s="5"/>
    </row>
    <row r="202" spans="1:4" x14ac:dyDescent="0.35">
      <c r="A202" s="9">
        <v>155</v>
      </c>
      <c r="B202" s="5" t="s">
        <v>35</v>
      </c>
      <c r="C202" s="5">
        <v>137.38297872340425</v>
      </c>
      <c r="D202" s="5"/>
    </row>
    <row r="203" spans="1:4" x14ac:dyDescent="0.35">
      <c r="A203" s="9">
        <v>156</v>
      </c>
      <c r="B203" s="5" t="s">
        <v>33</v>
      </c>
      <c r="C203" s="5">
        <v>137.16</v>
      </c>
      <c r="D203" s="5"/>
    </row>
    <row r="204" spans="1:4" x14ac:dyDescent="0.35">
      <c r="A204" s="9">
        <v>157</v>
      </c>
      <c r="B204" s="5" t="s">
        <v>34</v>
      </c>
      <c r="C204" s="5">
        <v>136.9047619047619</v>
      </c>
      <c r="D204" s="5"/>
    </row>
    <row r="205" spans="1:4" x14ac:dyDescent="0.35">
      <c r="A205" s="9">
        <v>158</v>
      </c>
      <c r="B205" s="5" t="s">
        <v>37</v>
      </c>
      <c r="C205" s="5">
        <v>136</v>
      </c>
      <c r="D205" s="5"/>
    </row>
    <row r="206" spans="1:4" x14ac:dyDescent="0.35">
      <c r="A206" s="9">
        <v>159</v>
      </c>
      <c r="B206" s="5" t="s">
        <v>31</v>
      </c>
      <c r="C206" s="5">
        <v>134.92307692307693</v>
      </c>
      <c r="D206" s="5"/>
    </row>
    <row r="207" spans="1:4" x14ac:dyDescent="0.35">
      <c r="A207" s="9">
        <v>160</v>
      </c>
      <c r="B207" s="5" t="s">
        <v>33</v>
      </c>
      <c r="C207" s="5">
        <v>133.59740259740261</v>
      </c>
      <c r="D207" s="5"/>
    </row>
    <row r="208" spans="1:4" x14ac:dyDescent="0.35">
      <c r="A208" s="9">
        <v>161</v>
      </c>
      <c r="B208" s="5" t="s">
        <v>34</v>
      </c>
      <c r="C208" s="5">
        <v>132.69230769230768</v>
      </c>
      <c r="D208" s="5"/>
    </row>
    <row r="209" spans="1:4" x14ac:dyDescent="0.35">
      <c r="A209" s="9">
        <v>162</v>
      </c>
      <c r="B209" s="5" t="s">
        <v>35</v>
      </c>
      <c r="C209" s="5">
        <v>131.77551020408163</v>
      </c>
      <c r="D209" s="5"/>
    </row>
    <row r="210" spans="1:4" x14ac:dyDescent="0.35">
      <c r="A210" s="9">
        <v>163</v>
      </c>
      <c r="B210" s="5" t="s">
        <v>37</v>
      </c>
      <c r="C210" s="5">
        <v>131.38983050847457</v>
      </c>
      <c r="D210" s="5"/>
    </row>
    <row r="211" spans="1:4" x14ac:dyDescent="0.35">
      <c r="A211" s="9">
        <v>164</v>
      </c>
      <c r="B211" s="5" t="s">
        <v>36</v>
      </c>
      <c r="C211" s="5">
        <v>130.86486486486487</v>
      </c>
      <c r="D211" s="5"/>
    </row>
    <row r="212" spans="1:4" x14ac:dyDescent="0.35">
      <c r="A212" s="9">
        <v>165</v>
      </c>
      <c r="B212" s="5" t="s">
        <v>33</v>
      </c>
      <c r="C212" s="5">
        <v>130.21518987341773</v>
      </c>
      <c r="D212" s="5"/>
    </row>
    <row r="213" spans="1:4" x14ac:dyDescent="0.35">
      <c r="A213" s="9">
        <v>166</v>
      </c>
      <c r="B213" s="5" t="s">
        <v>34</v>
      </c>
      <c r="C213" s="5">
        <v>128.73134328358208</v>
      </c>
      <c r="D213" s="5"/>
    </row>
    <row r="214" spans="1:4" x14ac:dyDescent="0.35">
      <c r="A214" s="9">
        <v>167</v>
      </c>
      <c r="B214" s="5" t="s">
        <v>37</v>
      </c>
      <c r="C214" s="5">
        <v>127.08196721311475</v>
      </c>
      <c r="D214" s="5"/>
    </row>
    <row r="215" spans="1:4" x14ac:dyDescent="0.35">
      <c r="A215" s="9">
        <v>168</v>
      </c>
      <c r="B215" s="5" t="s">
        <v>33</v>
      </c>
      <c r="C215" s="5">
        <v>127</v>
      </c>
      <c r="D215" s="5"/>
    </row>
    <row r="216" spans="1:4" x14ac:dyDescent="0.35">
      <c r="A216" s="9">
        <v>169</v>
      </c>
      <c r="B216" s="5" t="s">
        <v>35</v>
      </c>
      <c r="C216" s="5">
        <v>126.6078431372549</v>
      </c>
      <c r="D216" s="5"/>
    </row>
    <row r="217" spans="1:4" x14ac:dyDescent="0.35">
      <c r="A217" s="9">
        <v>170</v>
      </c>
      <c r="B217" s="5" t="s">
        <v>32</v>
      </c>
      <c r="C217" s="5">
        <v>126</v>
      </c>
      <c r="D217" s="5"/>
    </row>
    <row r="218" spans="1:4" x14ac:dyDescent="0.35">
      <c r="A218" s="9">
        <v>171</v>
      </c>
      <c r="B218" s="5" t="s">
        <v>34</v>
      </c>
      <c r="C218" s="5">
        <v>125</v>
      </c>
      <c r="D218" s="5"/>
    </row>
    <row r="219" spans="1:4" x14ac:dyDescent="0.35">
      <c r="A219" s="9">
        <v>172</v>
      </c>
      <c r="B219" s="5" t="s">
        <v>36</v>
      </c>
      <c r="C219" s="5">
        <v>124.15384615384616</v>
      </c>
      <c r="D219" s="5"/>
    </row>
    <row r="220" spans="1:4" x14ac:dyDescent="0.35">
      <c r="A220" s="9">
        <v>173</v>
      </c>
      <c r="B220" s="5" t="s">
        <v>33</v>
      </c>
      <c r="C220" s="5">
        <v>123.93975903614458</v>
      </c>
      <c r="D220" s="5"/>
    </row>
    <row r="221" spans="1:4" x14ac:dyDescent="0.35">
      <c r="A221" s="9">
        <v>174</v>
      </c>
      <c r="B221" s="5" t="s">
        <v>37</v>
      </c>
      <c r="C221" s="5">
        <v>123.04761904761905</v>
      </c>
      <c r="D221" s="5"/>
    </row>
    <row r="222" spans="1:4" x14ac:dyDescent="0.35">
      <c r="A222" s="9">
        <v>175</v>
      </c>
      <c r="B222" s="5" t="s">
        <v>35</v>
      </c>
      <c r="C222" s="5">
        <v>121.83018867924528</v>
      </c>
      <c r="D222" s="5"/>
    </row>
    <row r="223" spans="1:4" x14ac:dyDescent="0.35">
      <c r="A223" s="9">
        <v>176</v>
      </c>
      <c r="B223" s="5" t="s">
        <v>34</v>
      </c>
      <c r="C223" s="5">
        <v>121.47887323943662</v>
      </c>
      <c r="D223" s="5"/>
    </row>
    <row r="224" spans="1:4" x14ac:dyDescent="0.35">
      <c r="A224" s="9">
        <v>177</v>
      </c>
      <c r="B224" s="5" t="s">
        <v>33</v>
      </c>
      <c r="C224" s="5">
        <v>121.02352941176471</v>
      </c>
      <c r="D224" s="5"/>
    </row>
    <row r="225" spans="1:4" x14ac:dyDescent="0.35">
      <c r="A225" s="9">
        <v>178</v>
      </c>
      <c r="B225" s="5" t="s">
        <v>37</v>
      </c>
      <c r="C225" s="5">
        <v>119.26153846153846</v>
      </c>
      <c r="D225" s="5"/>
    </row>
    <row r="226" spans="1:4" x14ac:dyDescent="0.35">
      <c r="A226" s="9">
        <v>179</v>
      </c>
      <c r="B226" s="5" t="s">
        <v>33</v>
      </c>
      <c r="C226" s="5">
        <v>118.24137931034483</v>
      </c>
      <c r="D226" s="5"/>
    </row>
    <row r="227" spans="1:4" x14ac:dyDescent="0.35">
      <c r="A227" s="9">
        <v>180</v>
      </c>
      <c r="B227" s="5" t="s">
        <v>34</v>
      </c>
      <c r="C227" s="5">
        <v>118.15068493150685</v>
      </c>
      <c r="D227" s="5"/>
    </row>
    <row r="228" spans="1:4" x14ac:dyDescent="0.35">
      <c r="A228" s="1">
        <v>181</v>
      </c>
      <c r="B228" s="1" t="s">
        <v>36</v>
      </c>
      <c r="C228" s="1">
        <v>118.09756097560975</v>
      </c>
    </row>
    <row r="229" spans="1:4" x14ac:dyDescent="0.35">
      <c r="A229" s="1">
        <v>182</v>
      </c>
      <c r="B229" s="1" t="s">
        <v>35</v>
      </c>
      <c r="C229" s="1">
        <v>117.4</v>
      </c>
    </row>
    <row r="230" spans="1:4" x14ac:dyDescent="0.35">
      <c r="A230" s="1">
        <v>183</v>
      </c>
      <c r="B230" s="57" t="s">
        <v>31</v>
      </c>
      <c r="C230" s="57">
        <v>116.93333333333334</v>
      </c>
    </row>
    <row r="231" spans="1:4" x14ac:dyDescent="0.35">
      <c r="A231" s="1">
        <v>184</v>
      </c>
      <c r="B231" s="1" t="s">
        <v>37</v>
      </c>
      <c r="C231" s="1">
        <v>115.70149253731343</v>
      </c>
    </row>
    <row r="232" spans="1:4" x14ac:dyDescent="0.35">
      <c r="A232" s="1">
        <v>185</v>
      </c>
      <c r="B232" s="1" t="s">
        <v>33</v>
      </c>
      <c r="C232" s="1">
        <v>115.58426966292134</v>
      </c>
    </row>
    <row r="233" spans="1:4" x14ac:dyDescent="0.35">
      <c r="A233" s="1">
        <v>186</v>
      </c>
      <c r="B233" s="1" t="s">
        <v>34</v>
      </c>
      <c r="C233" s="1">
        <v>115</v>
      </c>
    </row>
    <row r="234" spans="1:4" x14ac:dyDescent="0.35">
      <c r="A234" s="1">
        <v>187</v>
      </c>
      <c r="B234" s="57" t="s">
        <v>30</v>
      </c>
      <c r="C234" s="57">
        <v>114.90909090909091</v>
      </c>
    </row>
    <row r="235" spans="1:4" x14ac:dyDescent="0.35">
      <c r="A235" s="1">
        <v>188</v>
      </c>
      <c r="B235" s="1" t="s">
        <v>35</v>
      </c>
      <c r="C235" s="1">
        <v>113.28070175438596</v>
      </c>
    </row>
    <row r="236" spans="1:4" x14ac:dyDescent="0.35">
      <c r="A236" s="1">
        <v>189</v>
      </c>
      <c r="B236" s="1" t="s">
        <v>33</v>
      </c>
      <c r="C236" s="1">
        <v>113.04395604395604</v>
      </c>
    </row>
    <row r="237" spans="1:4" x14ac:dyDescent="0.35">
      <c r="A237" s="1">
        <v>190</v>
      </c>
      <c r="B237" s="1" t="s">
        <v>36</v>
      </c>
      <c r="C237" s="1">
        <v>112.6046511627907</v>
      </c>
    </row>
    <row r="238" spans="1:4" x14ac:dyDescent="0.35">
      <c r="A238" s="1">
        <v>191</v>
      </c>
      <c r="B238" s="1" t="s">
        <v>37</v>
      </c>
      <c r="C238" s="1">
        <v>112.34782608695652</v>
      </c>
    </row>
    <row r="239" spans="1:4" x14ac:dyDescent="0.35">
      <c r="A239" s="1">
        <v>192</v>
      </c>
      <c r="B239" s="1" t="s">
        <v>34</v>
      </c>
      <c r="C239" s="1">
        <v>112.01298701298701</v>
      </c>
    </row>
    <row r="240" spans="1:4" x14ac:dyDescent="0.35">
      <c r="A240" s="1">
        <v>193</v>
      </c>
      <c r="B240" s="1" t="s">
        <v>33</v>
      </c>
      <c r="C240" s="1">
        <v>110.61290322580645</v>
      </c>
    </row>
    <row r="241" spans="1:3" x14ac:dyDescent="0.35">
      <c r="A241" s="1">
        <v>194</v>
      </c>
      <c r="B241" s="1" t="s">
        <v>35</v>
      </c>
      <c r="C241" s="1">
        <v>109.44067796610169</v>
      </c>
    </row>
    <row r="242" spans="1:3" x14ac:dyDescent="0.35">
      <c r="A242" s="1">
        <v>195</v>
      </c>
      <c r="B242" s="1" t="s">
        <v>32</v>
      </c>
      <c r="C242" s="1">
        <v>109.2</v>
      </c>
    </row>
    <row r="243" spans="1:3" x14ac:dyDescent="0.35">
      <c r="A243" s="1">
        <v>196</v>
      </c>
      <c r="B243" s="1" t="s">
        <v>37</v>
      </c>
      <c r="C243" s="1">
        <v>109.1830985915493</v>
      </c>
    </row>
    <row r="244" spans="1:3" x14ac:dyDescent="0.35">
      <c r="A244" s="1">
        <v>197</v>
      </c>
      <c r="B244" s="1" t="s">
        <v>34</v>
      </c>
      <c r="C244" s="1">
        <v>109.17721518987342</v>
      </c>
    </row>
    <row r="245" spans="1:3" x14ac:dyDescent="0.35">
      <c r="A245" s="1">
        <v>198</v>
      </c>
      <c r="B245" s="1" t="s">
        <v>33</v>
      </c>
      <c r="C245" s="1">
        <v>108.28421052631579</v>
      </c>
    </row>
    <row r="246" spans="1:3" x14ac:dyDescent="0.35">
      <c r="A246" s="1">
        <v>199</v>
      </c>
      <c r="B246" s="1" t="s">
        <v>36</v>
      </c>
      <c r="C246" s="1">
        <v>107.6</v>
      </c>
    </row>
    <row r="247" spans="1:3" x14ac:dyDescent="0.35">
      <c r="A247" s="1">
        <v>200</v>
      </c>
      <c r="B247" s="1" t="s">
        <v>34</v>
      </c>
      <c r="C247" s="1">
        <v>106.48148148148148</v>
      </c>
    </row>
    <row r="248" spans="1:3" x14ac:dyDescent="0.35">
      <c r="A248" s="1">
        <v>201</v>
      </c>
      <c r="B248" s="1" t="s">
        <v>37</v>
      </c>
      <c r="C248" s="1">
        <v>106.1917808219178</v>
      </c>
    </row>
    <row r="249" spans="1:3" x14ac:dyDescent="0.35">
      <c r="A249" s="1">
        <v>202</v>
      </c>
      <c r="B249" s="1" t="s">
        <v>33</v>
      </c>
      <c r="C249" s="1">
        <v>106.05154639175258</v>
      </c>
    </row>
    <row r="250" spans="1:3" x14ac:dyDescent="0.35">
      <c r="A250" s="1">
        <v>203</v>
      </c>
      <c r="B250" s="1" t="s">
        <v>35</v>
      </c>
      <c r="C250" s="1">
        <v>105.85245901639344</v>
      </c>
    </row>
    <row r="251" spans="1:3" x14ac:dyDescent="0.35">
      <c r="A251" s="1">
        <v>204</v>
      </c>
      <c r="B251" s="1" t="s">
        <v>34</v>
      </c>
      <c r="C251" s="1">
        <v>103.91566265060241</v>
      </c>
    </row>
    <row r="252" spans="1:3" x14ac:dyDescent="0.35">
      <c r="A252" s="1">
        <v>205</v>
      </c>
      <c r="B252" s="1" t="s">
        <v>33</v>
      </c>
      <c r="C252" s="1">
        <v>103.90909090909091</v>
      </c>
    </row>
    <row r="253" spans="1:3" x14ac:dyDescent="0.35">
      <c r="A253" s="1">
        <v>206</v>
      </c>
      <c r="B253" s="1" t="s">
        <v>37</v>
      </c>
      <c r="C253" s="1">
        <v>103.36</v>
      </c>
    </row>
    <row r="254" spans="1:3" x14ac:dyDescent="0.35">
      <c r="A254" s="1">
        <v>207</v>
      </c>
      <c r="B254" s="57" t="s">
        <v>31</v>
      </c>
      <c r="C254" s="57">
        <v>103.17647058823529</v>
      </c>
    </row>
    <row r="255" spans="1:3" x14ac:dyDescent="0.35">
      <c r="A255" s="1">
        <v>208</v>
      </c>
      <c r="B255" s="1" t="s">
        <v>36</v>
      </c>
      <c r="C255" s="1">
        <v>103.02127659574468</v>
      </c>
    </row>
    <row r="256" spans="1:3" x14ac:dyDescent="0.35">
      <c r="A256" s="1">
        <v>209</v>
      </c>
      <c r="B256" s="1" t="s">
        <v>35</v>
      </c>
      <c r="C256" s="1">
        <v>102.49206349206349</v>
      </c>
    </row>
    <row r="257" spans="1:3" x14ac:dyDescent="0.35">
      <c r="A257" s="1">
        <v>210</v>
      </c>
      <c r="B257" s="1" t="s">
        <v>33</v>
      </c>
      <c r="C257" s="1">
        <v>101.85148514851485</v>
      </c>
    </row>
    <row r="258" spans="1:3" x14ac:dyDescent="0.35">
      <c r="A258" s="1">
        <v>211</v>
      </c>
      <c r="B258" s="1" t="s">
        <v>34</v>
      </c>
      <c r="C258" s="1">
        <v>101.47058823529412</v>
      </c>
    </row>
    <row r="259" spans="1:3" x14ac:dyDescent="0.35">
      <c r="A259" s="1">
        <v>212</v>
      </c>
      <c r="B259" s="1" t="s">
        <v>37</v>
      </c>
      <c r="C259" s="1">
        <v>100.67532467532467</v>
      </c>
    </row>
    <row r="260" spans="1:3" x14ac:dyDescent="0.35">
      <c r="A260" s="1">
        <v>213</v>
      </c>
      <c r="B260" s="1" t="s">
        <v>33</v>
      </c>
      <c r="C260" s="1">
        <v>99.873786407766985</v>
      </c>
    </row>
    <row r="261" spans="1:3" x14ac:dyDescent="0.35">
      <c r="A261" s="1">
        <v>214</v>
      </c>
      <c r="B261" s="1" t="s">
        <v>35</v>
      </c>
      <c r="C261" s="1">
        <v>99.338461538461544</v>
      </c>
    </row>
    <row r="262" spans="1:3" x14ac:dyDescent="0.35">
      <c r="A262" s="1">
        <v>215</v>
      </c>
      <c r="B262" s="1" t="s">
        <v>34</v>
      </c>
      <c r="C262" s="1">
        <v>99.137931034482762</v>
      </c>
    </row>
    <row r="263" spans="1:3" x14ac:dyDescent="0.35">
      <c r="A263" s="1">
        <v>216</v>
      </c>
      <c r="B263" s="1" t="s">
        <v>36</v>
      </c>
      <c r="C263" s="1">
        <v>98.816326530612244</v>
      </c>
    </row>
    <row r="264" spans="1:3" x14ac:dyDescent="0.35">
      <c r="A264" s="1">
        <v>217</v>
      </c>
      <c r="B264" s="1" t="s">
        <v>37</v>
      </c>
      <c r="C264" s="1">
        <v>98.12658227848101</v>
      </c>
    </row>
    <row r="265" spans="1:3" x14ac:dyDescent="0.35">
      <c r="A265" s="1">
        <v>218</v>
      </c>
      <c r="B265" s="1" t="s">
        <v>33</v>
      </c>
      <c r="C265" s="1">
        <v>97.971428571428575</v>
      </c>
    </row>
    <row r="266" spans="1:3" x14ac:dyDescent="0.35">
      <c r="A266" s="1">
        <v>219</v>
      </c>
      <c r="B266" s="57" t="s">
        <v>30</v>
      </c>
      <c r="C266" s="57">
        <v>97.230769230769226</v>
      </c>
    </row>
    <row r="267" spans="1:3" x14ac:dyDescent="0.35">
      <c r="A267" s="1">
        <v>220</v>
      </c>
      <c r="B267" s="1" t="s">
        <v>34</v>
      </c>
      <c r="C267" s="1">
        <v>96.910112359550567</v>
      </c>
    </row>
    <row r="268" spans="1:3" x14ac:dyDescent="0.35">
      <c r="A268" s="1">
        <v>221</v>
      </c>
      <c r="B268" s="1" t="s">
        <v>35</v>
      </c>
      <c r="C268" s="1">
        <v>96.373134328358205</v>
      </c>
    </row>
    <row r="269" spans="1:3" x14ac:dyDescent="0.35">
      <c r="A269" s="1">
        <v>222</v>
      </c>
      <c r="B269" s="1" t="s">
        <v>32</v>
      </c>
      <c r="C269" s="1">
        <v>96.352941176470594</v>
      </c>
    </row>
    <row r="270" spans="1:3" x14ac:dyDescent="0.35">
      <c r="A270" s="1">
        <v>223</v>
      </c>
      <c r="B270" s="1" t="s">
        <v>33</v>
      </c>
      <c r="C270" s="1">
        <v>96.140186915887853</v>
      </c>
    </row>
    <row r="271" spans="1:3" x14ac:dyDescent="0.35">
      <c r="A271" s="1">
        <v>224</v>
      </c>
      <c r="B271" s="1" t="s">
        <v>37</v>
      </c>
      <c r="C271" s="1">
        <v>95.703703703703709</v>
      </c>
    </row>
    <row r="272" spans="1:3" x14ac:dyDescent="0.35">
      <c r="A272" s="1">
        <v>225</v>
      </c>
      <c r="B272" s="1" t="s">
        <v>36</v>
      </c>
      <c r="C272" s="1">
        <v>94.941176470588232</v>
      </c>
    </row>
    <row r="273" spans="1:3" x14ac:dyDescent="0.35">
      <c r="A273" s="1">
        <v>226</v>
      </c>
      <c r="B273" s="1" t="s">
        <v>34</v>
      </c>
      <c r="C273" s="1">
        <v>94.780219780219781</v>
      </c>
    </row>
    <row r="274" spans="1:3" x14ac:dyDescent="0.35">
      <c r="A274" s="1">
        <v>227</v>
      </c>
      <c r="B274" s="1" t="s">
        <v>33</v>
      </c>
      <c r="C274" s="1">
        <v>94.376146788990823</v>
      </c>
    </row>
    <row r="275" spans="1:3" x14ac:dyDescent="0.35">
      <c r="A275" s="1">
        <v>228</v>
      </c>
      <c r="B275" s="1" t="s">
        <v>35</v>
      </c>
      <c r="C275" s="1">
        <v>93.579710144927532</v>
      </c>
    </row>
    <row r="276" spans="1:3" x14ac:dyDescent="0.35">
      <c r="A276" s="1">
        <v>229</v>
      </c>
      <c r="B276" s="1" t="s">
        <v>37</v>
      </c>
      <c r="C276" s="1">
        <v>93.397590361445779</v>
      </c>
    </row>
    <row r="277" spans="1:3" x14ac:dyDescent="0.35">
      <c r="A277" s="1">
        <v>230</v>
      </c>
      <c r="B277" s="1" t="s">
        <v>34</v>
      </c>
      <c r="C277" s="1">
        <v>92.741935483870961</v>
      </c>
    </row>
    <row r="278" spans="1:3" x14ac:dyDescent="0.35">
      <c r="A278" s="1">
        <v>231</v>
      </c>
      <c r="B278" s="1" t="s">
        <v>33</v>
      </c>
      <c r="C278" s="1">
        <v>92.675675675675677</v>
      </c>
    </row>
    <row r="279" spans="1:3" x14ac:dyDescent="0.35">
      <c r="A279" s="1">
        <v>232</v>
      </c>
      <c r="B279" s="57" t="s">
        <v>31</v>
      </c>
      <c r="C279" s="57">
        <v>92.315789473684205</v>
      </c>
    </row>
    <row r="280" spans="1:3" x14ac:dyDescent="0.35">
      <c r="A280" s="1">
        <v>233</v>
      </c>
      <c r="B280" s="1" t="s">
        <v>36</v>
      </c>
      <c r="C280" s="1">
        <v>91.35849056603773</v>
      </c>
    </row>
    <row r="281" spans="1:3" x14ac:dyDescent="0.35">
      <c r="A281" s="1">
        <v>234</v>
      </c>
      <c r="B281" s="1" t="s">
        <v>37</v>
      </c>
      <c r="C281" s="1">
        <v>91.2</v>
      </c>
    </row>
    <row r="282" spans="1:3" x14ac:dyDescent="0.35">
      <c r="A282" s="1">
        <v>235</v>
      </c>
      <c r="B282" s="1" t="s">
        <v>33</v>
      </c>
      <c r="C282" s="1">
        <v>91.035398230088489</v>
      </c>
    </row>
    <row r="283" spans="1:3" x14ac:dyDescent="0.35">
      <c r="A283" s="1">
        <v>236</v>
      </c>
      <c r="B283" s="1" t="s">
        <v>35</v>
      </c>
      <c r="C283" s="1">
        <v>90.943661971830991</v>
      </c>
    </row>
    <row r="284" spans="1:3" x14ac:dyDescent="0.35">
      <c r="A284" s="1">
        <v>237</v>
      </c>
      <c r="B284" s="1" t="s">
        <v>34</v>
      </c>
      <c r="C284" s="1">
        <v>90.78947368421052</v>
      </c>
    </row>
    <row r="285" spans="1:3" x14ac:dyDescent="0.35">
      <c r="A285" s="1">
        <v>238</v>
      </c>
      <c r="B285" s="1" t="s">
        <v>33</v>
      </c>
      <c r="C285" s="1">
        <v>89.452173913043481</v>
      </c>
    </row>
    <row r="286" spans="1:3" x14ac:dyDescent="0.35">
      <c r="A286" s="1">
        <v>239</v>
      </c>
      <c r="B286" s="1" t="s">
        <v>37</v>
      </c>
      <c r="C286" s="1">
        <v>89.103448275862064</v>
      </c>
    </row>
    <row r="287" spans="1:3" x14ac:dyDescent="0.35">
      <c r="A287" s="1">
        <v>240</v>
      </c>
      <c r="B287" s="1" t="s">
        <v>34</v>
      </c>
      <c r="C287" s="1">
        <v>88.917525773195877</v>
      </c>
    </row>
    <row r="288" spans="1:3" x14ac:dyDescent="0.35">
      <c r="A288" s="1">
        <v>241</v>
      </c>
      <c r="B288" s="1" t="s">
        <v>35</v>
      </c>
      <c r="C288" s="1">
        <v>88.452054794520549</v>
      </c>
    </row>
    <row r="289" spans="1:3" x14ac:dyDescent="0.35">
      <c r="A289" s="1">
        <v>242</v>
      </c>
      <c r="B289" s="1" t="s">
        <v>36</v>
      </c>
      <c r="C289" s="1">
        <v>88.036363636363632</v>
      </c>
    </row>
    <row r="290" spans="1:3" x14ac:dyDescent="0.35">
      <c r="A290" s="1">
        <v>243</v>
      </c>
      <c r="B290" s="1" t="s">
        <v>33</v>
      </c>
      <c r="C290" s="1">
        <v>87.92307692307692</v>
      </c>
    </row>
    <row r="291" spans="1:3" x14ac:dyDescent="0.35">
      <c r="A291" s="1">
        <v>244</v>
      </c>
      <c r="B291" s="1" t="s">
        <v>34</v>
      </c>
      <c r="C291" s="1">
        <v>87.121212121212125</v>
      </c>
    </row>
    <row r="292" spans="1:3" x14ac:dyDescent="0.35">
      <c r="A292" s="1">
        <v>245</v>
      </c>
      <c r="B292" s="1" t="s">
        <v>37</v>
      </c>
      <c r="C292" s="1">
        <v>87.101123595505612</v>
      </c>
    </row>
    <row r="293" spans="1:3" x14ac:dyDescent="0.35">
      <c r="A293" s="1">
        <v>246</v>
      </c>
      <c r="B293" s="1" t="s">
        <v>33</v>
      </c>
      <c r="C293" s="1">
        <v>86.445378151260499</v>
      </c>
    </row>
    <row r="294" spans="1:3" x14ac:dyDescent="0.35">
      <c r="A294" s="1">
        <v>247</v>
      </c>
      <c r="B294" s="1" t="s">
        <v>32</v>
      </c>
      <c r="C294" s="1">
        <v>86.21052631578948</v>
      </c>
    </row>
    <row r="295" spans="1:3" x14ac:dyDescent="0.35">
      <c r="A295" s="1">
        <v>248</v>
      </c>
      <c r="B295" s="1" t="s">
        <v>35</v>
      </c>
      <c r="C295" s="1">
        <v>86.093333333333334</v>
      </c>
    </row>
    <row r="296" spans="1:3" x14ac:dyDescent="0.35">
      <c r="A296" s="1">
        <v>249</v>
      </c>
      <c r="B296" s="1" t="s">
        <v>34</v>
      </c>
      <c r="C296" s="1">
        <v>85.396039603960389</v>
      </c>
    </row>
    <row r="297" spans="1:3" x14ac:dyDescent="0.35">
      <c r="A297" s="1">
        <v>250</v>
      </c>
      <c r="B297" s="1" t="s">
        <v>37</v>
      </c>
      <c r="C297" s="1">
        <v>85.186813186813183</v>
      </c>
    </row>
    <row r="298" spans="1:3" x14ac:dyDescent="0.35">
      <c r="A298" s="1">
        <v>251</v>
      </c>
      <c r="B298" s="1" t="s">
        <v>33</v>
      </c>
      <c r="C298" s="1">
        <v>85.016528925619838</v>
      </c>
    </row>
    <row r="299" spans="1:3" x14ac:dyDescent="0.35">
      <c r="A299" s="1">
        <v>252</v>
      </c>
      <c r="B299" s="1" t="s">
        <v>36</v>
      </c>
      <c r="C299" s="1">
        <v>84.94736842105263</v>
      </c>
    </row>
    <row r="300" spans="1:3" x14ac:dyDescent="0.35">
      <c r="A300" s="1">
        <v>253</v>
      </c>
      <c r="B300" s="57" t="s">
        <v>30</v>
      </c>
      <c r="C300" s="57">
        <v>84.266666666666666</v>
      </c>
    </row>
    <row r="301" spans="1:3" x14ac:dyDescent="0.35">
      <c r="A301" s="1">
        <v>254</v>
      </c>
      <c r="B301" s="1" t="s">
        <v>35</v>
      </c>
      <c r="C301" s="1">
        <v>83.857142857142861</v>
      </c>
    </row>
    <row r="302" spans="1:3" x14ac:dyDescent="0.35">
      <c r="A302" s="1">
        <v>255</v>
      </c>
      <c r="B302" s="1" t="s">
        <v>34</v>
      </c>
      <c r="C302" s="1">
        <v>83.737864077669897</v>
      </c>
    </row>
    <row r="303" spans="1:3" x14ac:dyDescent="0.35">
      <c r="A303" s="1">
        <v>256</v>
      </c>
      <c r="B303" s="1" t="s">
        <v>33</v>
      </c>
      <c r="C303" s="1">
        <v>83.634146341463421</v>
      </c>
    </row>
    <row r="304" spans="1:3" x14ac:dyDescent="0.35">
      <c r="A304" s="1">
        <v>257</v>
      </c>
      <c r="B304" s="57" t="s">
        <v>31</v>
      </c>
      <c r="C304" s="57">
        <v>83.523809523809518</v>
      </c>
    </row>
    <row r="305" spans="1:3" x14ac:dyDescent="0.35">
      <c r="A305" s="1">
        <v>258</v>
      </c>
      <c r="B305" s="4" t="s">
        <v>37</v>
      </c>
      <c r="C305" s="4">
        <v>83.354838709677423</v>
      </c>
    </row>
    <row r="306" spans="1:3" x14ac:dyDescent="0.35">
      <c r="A306" s="1">
        <v>259</v>
      </c>
      <c r="B306" s="1" t="s">
        <v>33</v>
      </c>
      <c r="C306" s="1">
        <v>82.296000000000006</v>
      </c>
    </row>
    <row r="307" spans="1:3" x14ac:dyDescent="0.35">
      <c r="A307" s="1">
        <v>260</v>
      </c>
      <c r="B307" s="1" t="s">
        <v>34</v>
      </c>
      <c r="C307" s="1">
        <v>82.142857142857139</v>
      </c>
    </row>
    <row r="308" spans="1:3" x14ac:dyDescent="0.35">
      <c r="A308" s="1">
        <v>261</v>
      </c>
      <c r="B308" s="1" t="s">
        <v>36</v>
      </c>
      <c r="C308" s="1">
        <v>82.067796610169495</v>
      </c>
    </row>
    <row r="309" spans="1:3" x14ac:dyDescent="0.35">
      <c r="A309" s="1">
        <v>262</v>
      </c>
      <c r="B309" s="1" t="s">
        <v>35</v>
      </c>
      <c r="C309" s="1">
        <v>81.734177215189874</v>
      </c>
    </row>
    <row r="310" spans="1:3" x14ac:dyDescent="0.35">
      <c r="A310" s="1">
        <v>263</v>
      </c>
      <c r="B310" s="1" t="s">
        <v>37</v>
      </c>
      <c r="C310" s="1">
        <v>81.599999999999994</v>
      </c>
    </row>
    <row r="311" spans="1:3" x14ac:dyDescent="0.35">
      <c r="A311" s="1">
        <v>264</v>
      </c>
      <c r="B311" s="1" t="s">
        <v>33</v>
      </c>
      <c r="C311" s="1">
        <v>81</v>
      </c>
    </row>
    <row r="312" spans="1:3" x14ac:dyDescent="0.35">
      <c r="A312" s="1">
        <v>265</v>
      </c>
      <c r="B312" s="1" t="s">
        <v>34</v>
      </c>
      <c r="C312" s="1">
        <v>80.607476635514018</v>
      </c>
    </row>
    <row r="313" spans="1:3" x14ac:dyDescent="0.35">
      <c r="A313" s="1">
        <v>266</v>
      </c>
      <c r="B313" s="1" t="s">
        <v>37</v>
      </c>
      <c r="C313" s="1">
        <v>79.917525773195877</v>
      </c>
    </row>
    <row r="314" spans="1:3" x14ac:dyDescent="0.35">
      <c r="A314" s="1">
        <v>267</v>
      </c>
      <c r="B314" s="1" t="s">
        <v>33</v>
      </c>
      <c r="C314" s="1">
        <v>79.744186046511629</v>
      </c>
    </row>
    <row r="315" spans="1:3" x14ac:dyDescent="0.35">
      <c r="A315" s="1">
        <v>268</v>
      </c>
      <c r="B315" s="1" t="s">
        <v>35</v>
      </c>
      <c r="C315" s="1">
        <v>79.716049382716051</v>
      </c>
    </row>
    <row r="316" spans="1:3" x14ac:dyDescent="0.35">
      <c r="A316" s="1">
        <v>269</v>
      </c>
      <c r="B316" s="1" t="s">
        <v>36</v>
      </c>
      <c r="C316" s="1">
        <v>79.377049180327873</v>
      </c>
    </row>
    <row r="317" spans="1:3" x14ac:dyDescent="0.35">
      <c r="A317" s="1">
        <v>270</v>
      </c>
      <c r="B317" s="1" t="s">
        <v>34</v>
      </c>
      <c r="C317" s="1">
        <v>79.128440366972484</v>
      </c>
    </row>
    <row r="318" spans="1:3" x14ac:dyDescent="0.35">
      <c r="A318" s="1">
        <v>271</v>
      </c>
      <c r="B318" s="1" t="s">
        <v>33</v>
      </c>
      <c r="C318" s="1">
        <v>78.526717557251914</v>
      </c>
    </row>
    <row r="319" spans="1:3" x14ac:dyDescent="0.35">
      <c r="A319" s="1">
        <v>272</v>
      </c>
      <c r="B319" s="1" t="s">
        <v>37</v>
      </c>
      <c r="C319" s="1">
        <v>78.303030303030297</v>
      </c>
    </row>
    <row r="320" spans="1:3" x14ac:dyDescent="0.35">
      <c r="A320" s="1">
        <v>273</v>
      </c>
      <c r="B320" s="1" t="s">
        <v>32</v>
      </c>
      <c r="C320" s="1">
        <v>78</v>
      </c>
    </row>
    <row r="321" spans="1:3" x14ac:dyDescent="0.35">
      <c r="A321" s="1">
        <v>274</v>
      </c>
      <c r="B321" s="1" t="s">
        <v>35</v>
      </c>
      <c r="C321" s="1">
        <v>77.795180722891573</v>
      </c>
    </row>
    <row r="322" spans="1:3" x14ac:dyDescent="0.35">
      <c r="A322" s="1">
        <v>275</v>
      </c>
      <c r="B322" s="1" t="s">
        <v>34</v>
      </c>
      <c r="C322" s="1">
        <v>77.702702702702709</v>
      </c>
    </row>
    <row r="323" spans="1:3" x14ac:dyDescent="0.35">
      <c r="A323" s="1">
        <v>276</v>
      </c>
      <c r="B323" s="1" t="s">
        <v>33</v>
      </c>
      <c r="C323" s="1">
        <v>77.345864661654133</v>
      </c>
    </row>
    <row r="324" spans="1:3" x14ac:dyDescent="0.35">
      <c r="A324" s="1">
        <v>277</v>
      </c>
      <c r="B324" s="1" t="s">
        <v>36</v>
      </c>
      <c r="C324" s="1">
        <v>76.857142857142861</v>
      </c>
    </row>
    <row r="325" spans="1:3" x14ac:dyDescent="0.35">
      <c r="A325" s="1">
        <v>278</v>
      </c>
      <c r="B325" s="1" t="s">
        <v>37</v>
      </c>
      <c r="C325" s="1">
        <v>76.752475247524757</v>
      </c>
    </row>
    <row r="326" spans="1:3" x14ac:dyDescent="0.35">
      <c r="A326" s="1">
        <v>279</v>
      </c>
      <c r="B326" s="1" t="s">
        <v>34</v>
      </c>
      <c r="C326" s="1">
        <v>76.327433628318587</v>
      </c>
    </row>
    <row r="327" spans="1:3" x14ac:dyDescent="0.35">
      <c r="A327" s="1">
        <v>280</v>
      </c>
      <c r="B327" s="57" t="s">
        <v>31</v>
      </c>
      <c r="C327" s="57">
        <v>76.260869565217391</v>
      </c>
    </row>
    <row r="328" spans="1:3" x14ac:dyDescent="0.35">
      <c r="A328" s="1">
        <v>281</v>
      </c>
      <c r="B328" s="4" t="s">
        <v>33</v>
      </c>
      <c r="C328" s="4">
        <v>76.2</v>
      </c>
    </row>
    <row r="329" spans="1:3" x14ac:dyDescent="0.35">
      <c r="A329" s="1">
        <v>282</v>
      </c>
      <c r="B329" s="1" t="s">
        <v>35</v>
      </c>
      <c r="C329" s="1">
        <v>75.964705882352945</v>
      </c>
    </row>
    <row r="330" spans="1:3" x14ac:dyDescent="0.35">
      <c r="A330" s="1">
        <v>283</v>
      </c>
      <c r="B330" s="1" t="s">
        <v>37</v>
      </c>
      <c r="C330" s="1">
        <v>75.262135922330103</v>
      </c>
    </row>
    <row r="331" spans="1:3" x14ac:dyDescent="0.35">
      <c r="A331" s="1">
        <v>284</v>
      </c>
      <c r="B331" s="1" t="s">
        <v>33</v>
      </c>
      <c r="C331" s="1">
        <v>75.087591240875909</v>
      </c>
    </row>
    <row r="332" spans="1:3" x14ac:dyDescent="0.35">
      <c r="A332" s="1">
        <v>285</v>
      </c>
      <c r="B332" s="1" t="s">
        <v>34</v>
      </c>
      <c r="C332" s="1">
        <v>75</v>
      </c>
    </row>
    <row r="333" spans="1:3" x14ac:dyDescent="0.35">
      <c r="A333" s="1">
        <v>286</v>
      </c>
      <c r="B333" s="1" t="s">
        <v>36</v>
      </c>
      <c r="C333" s="1">
        <v>74.492307692307691</v>
      </c>
    </row>
    <row r="334" spans="1:3" x14ac:dyDescent="0.35">
      <c r="A334" s="1">
        <v>287</v>
      </c>
      <c r="B334" s="57" t="s">
        <v>30</v>
      </c>
      <c r="C334" s="57">
        <v>74.352941176470594</v>
      </c>
    </row>
    <row r="335" spans="1:3" x14ac:dyDescent="0.35">
      <c r="A335" s="1">
        <v>288</v>
      </c>
      <c r="B335" s="1" t="s">
        <v>35</v>
      </c>
      <c r="C335" s="1">
        <v>74.218390804597703</v>
      </c>
    </row>
    <row r="336" spans="1:3" x14ac:dyDescent="0.35">
      <c r="A336" s="1">
        <v>289</v>
      </c>
      <c r="B336" s="1" t="s">
        <v>33</v>
      </c>
      <c r="C336" s="1">
        <v>74.007194244604321</v>
      </c>
    </row>
    <row r="337" spans="1:3" x14ac:dyDescent="0.35">
      <c r="A337" s="1">
        <v>290</v>
      </c>
      <c r="B337" s="1" t="s">
        <v>37</v>
      </c>
      <c r="C337" s="1">
        <v>73.828571428571422</v>
      </c>
    </row>
    <row r="338" spans="1:3" x14ac:dyDescent="0.35">
      <c r="A338" s="1">
        <v>291</v>
      </c>
      <c r="B338" s="1" t="s">
        <v>34</v>
      </c>
      <c r="C338" s="1">
        <v>73.717948717948715</v>
      </c>
    </row>
    <row r="339" spans="1:3" x14ac:dyDescent="0.35">
      <c r="A339" s="1">
        <v>292</v>
      </c>
      <c r="B339" s="1" t="s">
        <v>33</v>
      </c>
      <c r="C339" s="1">
        <v>72.957446808510639</v>
      </c>
    </row>
    <row r="340" spans="1:3" x14ac:dyDescent="0.35">
      <c r="A340" s="1">
        <v>293</v>
      </c>
      <c r="B340" s="1" t="s">
        <v>35</v>
      </c>
      <c r="C340" s="1">
        <v>72.550561797752806</v>
      </c>
    </row>
    <row r="341" spans="1:3" x14ac:dyDescent="0.35">
      <c r="A341" s="1">
        <v>294</v>
      </c>
      <c r="B341" s="1" t="s">
        <v>34</v>
      </c>
      <c r="C341" s="1">
        <v>72.47899159663865</v>
      </c>
    </row>
    <row r="342" spans="1:3" x14ac:dyDescent="0.35">
      <c r="A342" s="1">
        <v>295</v>
      </c>
      <c r="B342" s="1" t="s">
        <v>37</v>
      </c>
      <c r="C342" s="1">
        <v>72.44859813084112</v>
      </c>
    </row>
    <row r="343" spans="1:3" x14ac:dyDescent="0.35">
      <c r="A343" s="1">
        <v>296</v>
      </c>
      <c r="B343" s="1" t="s">
        <v>36</v>
      </c>
      <c r="C343" s="1">
        <v>72.268656716417908</v>
      </c>
    </row>
    <row r="344" spans="1:3" x14ac:dyDescent="0.35">
      <c r="A344" s="1">
        <v>297</v>
      </c>
      <c r="B344" s="1" t="s">
        <v>33</v>
      </c>
      <c r="C344" s="1">
        <v>71.937062937062933</v>
      </c>
    </row>
    <row r="345" spans="1:3" x14ac:dyDescent="0.35">
      <c r="A345" s="1">
        <v>298</v>
      </c>
      <c r="B345" s="1" t="s">
        <v>34</v>
      </c>
      <c r="C345" s="1">
        <v>71.280991735537185</v>
      </c>
    </row>
    <row r="346" spans="1:3" x14ac:dyDescent="0.35">
      <c r="A346" s="1">
        <v>299</v>
      </c>
      <c r="B346" s="1" t="s">
        <v>32</v>
      </c>
      <c r="C346" s="1">
        <v>71.217391304347828</v>
      </c>
    </row>
    <row r="347" spans="1:3" x14ac:dyDescent="0.35">
      <c r="A347" s="1">
        <v>300</v>
      </c>
      <c r="B347" s="1" t="s">
        <v>37</v>
      </c>
      <c r="C347" s="1">
        <v>71.11926605504587</v>
      </c>
    </row>
    <row r="348" spans="1:3" x14ac:dyDescent="0.35">
      <c r="A348" s="1">
        <v>301</v>
      </c>
      <c r="B348" s="1" t="s">
        <v>35</v>
      </c>
      <c r="C348" s="1">
        <v>70.956043956043956</v>
      </c>
    </row>
    <row r="349" spans="1:3" x14ac:dyDescent="0.35">
      <c r="A349" s="1">
        <v>302</v>
      </c>
      <c r="B349" s="1" t="s">
        <v>33</v>
      </c>
      <c r="C349" s="1">
        <v>70.944827586206898</v>
      </c>
    </row>
    <row r="350" spans="1:3" x14ac:dyDescent="0.35">
      <c r="A350" s="1">
        <v>303</v>
      </c>
      <c r="B350" s="1" t="s">
        <v>36</v>
      </c>
      <c r="C350" s="1">
        <v>70.173913043478265</v>
      </c>
    </row>
    <row r="351" spans="1:3" x14ac:dyDescent="0.35">
      <c r="A351" s="1">
        <v>304</v>
      </c>
      <c r="B351" s="57" t="s">
        <v>31</v>
      </c>
      <c r="C351" s="57">
        <v>70.16</v>
      </c>
    </row>
    <row r="352" spans="1:3" x14ac:dyDescent="0.35">
      <c r="A352" s="1">
        <v>305</v>
      </c>
      <c r="B352" s="1" t="s">
        <v>34</v>
      </c>
      <c r="C352" s="1">
        <v>70.121951219512198</v>
      </c>
    </row>
    <row r="353" spans="1:3" x14ac:dyDescent="0.35">
      <c r="A353" s="1">
        <v>306</v>
      </c>
      <c r="B353" s="1" t="s">
        <v>33</v>
      </c>
      <c r="C353" s="1">
        <v>69.979591836734699</v>
      </c>
    </row>
    <row r="354" spans="1:3" x14ac:dyDescent="0.35">
      <c r="A354" s="1">
        <v>307</v>
      </c>
      <c r="B354" s="1" t="s">
        <v>37</v>
      </c>
      <c r="C354" s="1">
        <v>69.837837837837839</v>
      </c>
    </row>
    <row r="355" spans="1:3" x14ac:dyDescent="0.35">
      <c r="A355" s="1">
        <v>308</v>
      </c>
      <c r="B355" s="1" t="s">
        <v>35</v>
      </c>
      <c r="C355" s="1">
        <v>69.430107526881727</v>
      </c>
    </row>
    <row r="356" spans="1:3" x14ac:dyDescent="0.35">
      <c r="A356" s="1">
        <v>309</v>
      </c>
      <c r="B356" s="1" t="s">
        <v>33</v>
      </c>
      <c r="C356" s="1">
        <v>69.040268456375841</v>
      </c>
    </row>
    <row r="357" spans="1:3" x14ac:dyDescent="0.35">
      <c r="A357" s="1">
        <v>310</v>
      </c>
      <c r="B357" s="1" t="s">
        <v>34</v>
      </c>
      <c r="C357" s="1">
        <v>69</v>
      </c>
    </row>
    <row r="358" spans="1:3" x14ac:dyDescent="0.35">
      <c r="A358" s="1">
        <v>311</v>
      </c>
      <c r="B358" s="1" t="s">
        <v>37</v>
      </c>
      <c r="C358" s="1">
        <v>68.601769911504419</v>
      </c>
    </row>
    <row r="359" spans="1:3" x14ac:dyDescent="0.35">
      <c r="A359" s="1">
        <v>312</v>
      </c>
      <c r="B359" s="1" t="s">
        <v>36</v>
      </c>
      <c r="C359" s="1">
        <v>68.197183098591552</v>
      </c>
    </row>
    <row r="360" spans="1:3" x14ac:dyDescent="0.35">
      <c r="A360" s="1">
        <v>313</v>
      </c>
      <c r="B360" s="1" t="s">
        <v>33</v>
      </c>
      <c r="C360" s="1">
        <v>68.125827814569533</v>
      </c>
    </row>
    <row r="361" spans="1:3" x14ac:dyDescent="0.35">
      <c r="A361" s="1">
        <v>314</v>
      </c>
      <c r="B361" s="1" t="s">
        <v>35</v>
      </c>
      <c r="C361" s="1">
        <v>67.968421052631584</v>
      </c>
    </row>
    <row r="362" spans="1:3" x14ac:dyDescent="0.35">
      <c r="A362" s="1">
        <v>315</v>
      </c>
      <c r="B362" s="1" t="s">
        <v>34</v>
      </c>
      <c r="C362" s="1">
        <v>67.913385826771659</v>
      </c>
    </row>
    <row r="363" spans="1:3" x14ac:dyDescent="0.35">
      <c r="A363" s="1">
        <v>316</v>
      </c>
      <c r="B363" s="1" t="s">
        <v>37</v>
      </c>
      <c r="C363" s="1">
        <v>67.408695652173918</v>
      </c>
    </row>
    <row r="364" spans="1:3" x14ac:dyDescent="0.35">
      <c r="A364" s="1">
        <v>317</v>
      </c>
      <c r="B364" s="1" t="s">
        <v>33</v>
      </c>
      <c r="C364" s="1">
        <v>67.235294117647058</v>
      </c>
    </row>
    <row r="365" spans="1:3" x14ac:dyDescent="0.35">
      <c r="A365" s="1">
        <v>318</v>
      </c>
      <c r="B365" s="1" t="s">
        <v>34</v>
      </c>
      <c r="C365" s="1">
        <v>66.860465116279073</v>
      </c>
    </row>
    <row r="366" spans="1:3" x14ac:dyDescent="0.35">
      <c r="A366" s="1">
        <v>319</v>
      </c>
      <c r="B366" s="1" t="s">
        <v>35</v>
      </c>
      <c r="C366" s="1">
        <v>66.567010309278345</v>
      </c>
    </row>
    <row r="367" spans="1:3" x14ac:dyDescent="0.35">
      <c r="A367" s="1">
        <v>320</v>
      </c>
      <c r="B367" s="57" t="s">
        <v>30</v>
      </c>
      <c r="C367" s="57">
        <v>66.526315789473685</v>
      </c>
    </row>
    <row r="368" spans="1:3" x14ac:dyDescent="0.35">
      <c r="A368" s="1">
        <v>321</v>
      </c>
      <c r="B368" s="1" t="s">
        <v>33</v>
      </c>
      <c r="C368" s="1">
        <v>66.367741935483878</v>
      </c>
    </row>
    <row r="369" spans="1:3" x14ac:dyDescent="0.35">
      <c r="A369" s="1">
        <v>322</v>
      </c>
      <c r="B369" s="1" t="s">
        <v>36</v>
      </c>
      <c r="C369" s="1">
        <v>66.328767123287676</v>
      </c>
    </row>
    <row r="370" spans="1:3" x14ac:dyDescent="0.35">
      <c r="A370" s="1">
        <v>323</v>
      </c>
      <c r="B370" s="1" t="s">
        <v>37</v>
      </c>
      <c r="C370" s="1">
        <v>66.256410256410263</v>
      </c>
    </row>
    <row r="371" spans="1:3" x14ac:dyDescent="0.35">
      <c r="A371" s="1">
        <v>324</v>
      </c>
      <c r="B371" s="1" t="s">
        <v>34</v>
      </c>
      <c r="C371" s="1">
        <v>65.839694656488547</v>
      </c>
    </row>
    <row r="372" spans="1:3" x14ac:dyDescent="0.35">
      <c r="A372" s="1">
        <v>325</v>
      </c>
      <c r="B372" s="1" t="s">
        <v>33</v>
      </c>
      <c r="C372" s="1">
        <v>65.522292993630572</v>
      </c>
    </row>
    <row r="373" spans="1:3" x14ac:dyDescent="0.35">
      <c r="A373" s="1">
        <v>326</v>
      </c>
      <c r="B373" s="1" t="s">
        <v>32</v>
      </c>
      <c r="C373" s="1">
        <v>65.52</v>
      </c>
    </row>
    <row r="374" spans="1:3" x14ac:dyDescent="0.35">
      <c r="A374" s="1">
        <v>327</v>
      </c>
      <c r="B374" s="1" t="s">
        <v>35</v>
      </c>
      <c r="C374" s="1">
        <v>65.222222222222229</v>
      </c>
    </row>
    <row r="375" spans="1:3" x14ac:dyDescent="0.35">
      <c r="A375" s="1">
        <v>328</v>
      </c>
      <c r="B375" s="1" t="s">
        <v>37</v>
      </c>
      <c r="C375" s="1">
        <v>65.142857142857139</v>
      </c>
    </row>
    <row r="376" spans="1:3" x14ac:dyDescent="0.35">
      <c r="A376" s="1">
        <v>329</v>
      </c>
      <c r="B376" s="57" t="s">
        <v>31</v>
      </c>
      <c r="C376" s="57">
        <v>64.962962962962962</v>
      </c>
    </row>
    <row r="377" spans="1:3" x14ac:dyDescent="0.35">
      <c r="A377" s="1">
        <v>330</v>
      </c>
      <c r="B377" s="1" t="s">
        <v>34</v>
      </c>
      <c r="C377" s="1">
        <v>64.849624060150376</v>
      </c>
    </row>
    <row r="378" spans="1:3" x14ac:dyDescent="0.35">
      <c r="A378" s="1">
        <v>331</v>
      </c>
      <c r="B378" s="1" t="s">
        <v>33</v>
      </c>
      <c r="C378" s="1">
        <v>64.698113207547166</v>
      </c>
    </row>
    <row r="379" spans="1:3" x14ac:dyDescent="0.35">
      <c r="A379" s="1">
        <v>332</v>
      </c>
      <c r="B379" s="1" t="s">
        <v>36</v>
      </c>
      <c r="C379" s="1">
        <v>64.56</v>
      </c>
    </row>
    <row r="380" spans="1:3" x14ac:dyDescent="0.35">
      <c r="A380" s="1">
        <v>333</v>
      </c>
      <c r="B380" s="1" t="s">
        <v>37</v>
      </c>
      <c r="C380" s="1">
        <v>64.066115702479337</v>
      </c>
    </row>
    <row r="381" spans="1:3" x14ac:dyDescent="0.35">
      <c r="A381" s="1">
        <v>334</v>
      </c>
      <c r="B381" s="1" t="s">
        <v>35</v>
      </c>
      <c r="C381" s="1">
        <v>63.930693069306933</v>
      </c>
    </row>
    <row r="382" spans="1:3" x14ac:dyDescent="0.35">
      <c r="A382" s="1">
        <v>335</v>
      </c>
      <c r="B382" s="1" t="s">
        <v>33</v>
      </c>
      <c r="C382" s="1">
        <v>63.894409937888199</v>
      </c>
    </row>
    <row r="383" spans="1:3" x14ac:dyDescent="0.35">
      <c r="A383" s="1">
        <v>336</v>
      </c>
      <c r="B383" s="1" t="s">
        <v>34</v>
      </c>
      <c r="C383" s="1">
        <v>63.888888888888886</v>
      </c>
    </row>
    <row r="384" spans="1:3" x14ac:dyDescent="0.35">
      <c r="A384" s="1">
        <v>337</v>
      </c>
      <c r="B384" s="1" t="s">
        <v>33</v>
      </c>
      <c r="C384" s="1">
        <v>63.110429447852759</v>
      </c>
    </row>
    <row r="385" spans="1:3" x14ac:dyDescent="0.35">
      <c r="A385" s="1">
        <v>338</v>
      </c>
      <c r="B385" s="1" t="s">
        <v>37</v>
      </c>
      <c r="C385" s="1">
        <v>63.024390243902438</v>
      </c>
    </row>
    <row r="386" spans="1:3" x14ac:dyDescent="0.35">
      <c r="A386" s="1">
        <v>339</v>
      </c>
      <c r="B386" s="1" t="s">
        <v>34</v>
      </c>
      <c r="C386" s="1">
        <v>62.956204379562045</v>
      </c>
    </row>
    <row r="387" spans="1:3" x14ac:dyDescent="0.35">
      <c r="A387" s="1">
        <v>340</v>
      </c>
      <c r="B387" s="1" t="s">
        <v>36</v>
      </c>
      <c r="C387" s="1">
        <v>62.883116883116884</v>
      </c>
    </row>
    <row r="388" spans="1:3" x14ac:dyDescent="0.35">
      <c r="A388" s="1">
        <v>341</v>
      </c>
      <c r="B388" s="1" t="s">
        <v>35</v>
      </c>
      <c r="C388" s="1">
        <v>62.689320388349515</v>
      </c>
    </row>
    <row r="389" spans="1:3" x14ac:dyDescent="0.35">
      <c r="A389" s="1">
        <v>342</v>
      </c>
      <c r="B389" s="1" t="s">
        <v>33</v>
      </c>
      <c r="C389" s="1">
        <v>62.345454545454544</v>
      </c>
    </row>
    <row r="390" spans="1:3" x14ac:dyDescent="0.35">
      <c r="A390" s="1">
        <v>343</v>
      </c>
      <c r="B390" s="1" t="s">
        <v>34</v>
      </c>
      <c r="C390" s="1">
        <v>62.050359712230218</v>
      </c>
    </row>
    <row r="391" spans="1:3" x14ac:dyDescent="0.35">
      <c r="A391" s="1">
        <v>344</v>
      </c>
      <c r="B391" s="1" t="s">
        <v>37</v>
      </c>
      <c r="C391" s="1">
        <v>62.015999999999998</v>
      </c>
    </row>
    <row r="392" spans="1:3" x14ac:dyDescent="0.35">
      <c r="A392" s="1">
        <v>345</v>
      </c>
      <c r="B392" s="1" t="s">
        <v>33</v>
      </c>
      <c r="C392" s="1">
        <v>61.598802395209582</v>
      </c>
    </row>
    <row r="393" spans="1:3" x14ac:dyDescent="0.35">
      <c r="A393" s="1">
        <v>346</v>
      </c>
      <c r="B393" s="1" t="s">
        <v>35</v>
      </c>
      <c r="C393" s="1">
        <v>61.495238095238093</v>
      </c>
    </row>
    <row r="394" spans="1:3" x14ac:dyDescent="0.35">
      <c r="A394" s="1">
        <v>347</v>
      </c>
      <c r="B394" s="1" t="s">
        <v>36</v>
      </c>
      <c r="C394" s="1">
        <v>61.291139240506332</v>
      </c>
    </row>
    <row r="395" spans="1:3" x14ac:dyDescent="0.35">
      <c r="A395" s="1">
        <v>348</v>
      </c>
      <c r="B395" s="1" t="s">
        <v>34</v>
      </c>
      <c r="C395" s="1">
        <v>61.170212765957444</v>
      </c>
    </row>
    <row r="396" spans="1:3" x14ac:dyDescent="0.35">
      <c r="A396" s="1">
        <v>349</v>
      </c>
      <c r="B396" s="1" t="s">
        <v>37</v>
      </c>
      <c r="C396" s="1">
        <v>61.039370078740156</v>
      </c>
    </row>
    <row r="397" spans="1:3" x14ac:dyDescent="0.35">
      <c r="A397" s="1">
        <v>350</v>
      </c>
      <c r="B397" s="1" t="s">
        <v>33</v>
      </c>
      <c r="C397" s="1">
        <v>60.869822485207102</v>
      </c>
    </row>
    <row r="398" spans="1:3" x14ac:dyDescent="0.35">
      <c r="A398" s="1">
        <v>351</v>
      </c>
      <c r="B398" s="1" t="s">
        <v>32</v>
      </c>
      <c r="C398" s="1">
        <v>60.666666666666664</v>
      </c>
    </row>
    <row r="399" spans="1:3" x14ac:dyDescent="0.35">
      <c r="A399" s="1">
        <v>352</v>
      </c>
      <c r="B399" s="57" t="s">
        <v>31</v>
      </c>
      <c r="C399" s="57">
        <v>60.482758620689658</v>
      </c>
    </row>
    <row r="400" spans="1:3" x14ac:dyDescent="0.35">
      <c r="A400" s="1">
        <v>353</v>
      </c>
      <c r="B400" s="1" t="s">
        <v>35</v>
      </c>
      <c r="C400" s="1">
        <v>60.345794392523366</v>
      </c>
    </row>
    <row r="401" spans="1:3" x14ac:dyDescent="0.35">
      <c r="A401" s="1">
        <v>354</v>
      </c>
      <c r="B401" s="1" t="s">
        <v>34</v>
      </c>
      <c r="C401" s="1">
        <v>60.314685314685313</v>
      </c>
    </row>
    <row r="402" spans="1:3" x14ac:dyDescent="0.35">
      <c r="A402" s="1">
        <v>355</v>
      </c>
      <c r="B402" s="57" t="s">
        <v>30</v>
      </c>
      <c r="C402" s="57">
        <v>60.19047619047619</v>
      </c>
    </row>
    <row r="403" spans="1:3" x14ac:dyDescent="0.35">
      <c r="A403" s="1">
        <v>356</v>
      </c>
      <c r="B403" s="1" t="s">
        <v>33</v>
      </c>
      <c r="C403" s="1">
        <v>60.157894736842103</v>
      </c>
    </row>
    <row r="404" spans="1:3" x14ac:dyDescent="0.35">
      <c r="A404" s="1">
        <v>357</v>
      </c>
      <c r="B404" s="1" t="s">
        <v>37</v>
      </c>
      <c r="C404" s="1">
        <v>60.093023255813954</v>
      </c>
    </row>
    <row r="405" spans="1:3" x14ac:dyDescent="0.35">
      <c r="A405" s="1">
        <v>358</v>
      </c>
      <c r="B405" s="1" t="s">
        <v>36</v>
      </c>
      <c r="C405" s="1">
        <v>59.777777777777779</v>
      </c>
    </row>
    <row r="406" spans="1:3" x14ac:dyDescent="0.35">
      <c r="A406" s="1">
        <v>359</v>
      </c>
      <c r="B406" s="1" t="s">
        <v>34</v>
      </c>
      <c r="C406" s="1">
        <v>59.482758620689658</v>
      </c>
    </row>
    <row r="407" spans="1:3" x14ac:dyDescent="0.35">
      <c r="A407" s="1">
        <v>360</v>
      </c>
      <c r="B407" s="1" t="s">
        <v>33</v>
      </c>
      <c r="C407" s="1">
        <v>59.462427745664741</v>
      </c>
    </row>
    <row r="408" spans="1:3" x14ac:dyDescent="0.35">
      <c r="A408" s="1">
        <v>361</v>
      </c>
      <c r="B408" s="1" t="s">
        <v>35</v>
      </c>
      <c r="C408" s="1">
        <v>59.238532110091747</v>
      </c>
    </row>
    <row r="409" spans="1:3" x14ac:dyDescent="0.35">
      <c r="A409" s="1">
        <v>362</v>
      </c>
      <c r="B409" s="1" t="s">
        <v>37</v>
      </c>
      <c r="C409" s="1">
        <v>59.175572519083971</v>
      </c>
    </row>
    <row r="410" spans="1:3" x14ac:dyDescent="0.35">
      <c r="A410" s="1">
        <v>363</v>
      </c>
      <c r="B410" s="1" t="s">
        <v>34</v>
      </c>
      <c r="C410" s="1">
        <v>58.673469387755105</v>
      </c>
    </row>
    <row r="411" spans="1:3" x14ac:dyDescent="0.35">
      <c r="A411" s="1">
        <v>364</v>
      </c>
      <c r="B411" s="1" t="s">
        <v>36</v>
      </c>
      <c r="C411" s="1">
        <v>58.337349397590359</v>
      </c>
    </row>
    <row r="412" spans="1:3" x14ac:dyDescent="0.35">
      <c r="A412" s="1">
        <v>365</v>
      </c>
      <c r="B412" s="1" t="s">
        <v>37</v>
      </c>
      <c r="C412" s="1">
        <v>58.285714285714285</v>
      </c>
    </row>
    <row r="413" spans="1:3" x14ac:dyDescent="0.35">
      <c r="A413" s="1">
        <v>366</v>
      </c>
      <c r="B413" s="1" t="s">
        <v>35</v>
      </c>
      <c r="C413" s="1">
        <v>58.171171171171174</v>
      </c>
    </row>
    <row r="414" spans="1:3" x14ac:dyDescent="0.35">
      <c r="A414" s="1">
        <v>367</v>
      </c>
      <c r="B414" s="1" t="s">
        <v>34</v>
      </c>
      <c r="C414" s="1">
        <v>57.885906040268459</v>
      </c>
    </row>
    <row r="415" spans="1:3" x14ac:dyDescent="0.35">
      <c r="A415" s="1">
        <v>368</v>
      </c>
      <c r="B415" s="1" t="s">
        <v>37</v>
      </c>
      <c r="C415" s="1">
        <v>57.422222222222224</v>
      </c>
    </row>
    <row r="416" spans="1:3" x14ac:dyDescent="0.35">
      <c r="A416" s="1">
        <v>369</v>
      </c>
      <c r="B416" s="1" t="s">
        <v>35</v>
      </c>
      <c r="C416" s="1">
        <v>57.141592920353979</v>
      </c>
    </row>
    <row r="417" spans="1:3" x14ac:dyDescent="0.35">
      <c r="A417" s="1">
        <v>370</v>
      </c>
      <c r="B417" s="1" t="s">
        <v>34</v>
      </c>
      <c r="C417" s="1">
        <v>57.119205298013242</v>
      </c>
    </row>
    <row r="418" spans="1:3" x14ac:dyDescent="0.35">
      <c r="A418" s="1">
        <v>371</v>
      </c>
      <c r="B418" s="1" t="s">
        <v>36</v>
      </c>
      <c r="C418" s="1">
        <v>56.964705882352938</v>
      </c>
    </row>
    <row r="419" spans="1:3" x14ac:dyDescent="0.35">
      <c r="A419" s="1">
        <v>372</v>
      </c>
      <c r="B419" s="1" t="s">
        <v>37</v>
      </c>
      <c r="C419" s="1">
        <v>56.583941605839414</v>
      </c>
    </row>
    <row r="420" spans="1:3" x14ac:dyDescent="0.35">
      <c r="A420" s="1">
        <v>373</v>
      </c>
      <c r="B420" s="57" t="s">
        <v>31</v>
      </c>
      <c r="C420" s="57">
        <v>56.58064516129032</v>
      </c>
    </row>
    <row r="421" spans="1:3" x14ac:dyDescent="0.35">
      <c r="A421" s="1">
        <v>374</v>
      </c>
      <c r="B421" s="1" t="s">
        <v>32</v>
      </c>
      <c r="C421" s="1">
        <v>56.482758620689658</v>
      </c>
    </row>
    <row r="422" spans="1:3" x14ac:dyDescent="0.35">
      <c r="A422" s="1">
        <v>375</v>
      </c>
      <c r="B422" s="1" t="s">
        <v>34</v>
      </c>
      <c r="C422" s="1">
        <v>56.372549019607845</v>
      </c>
    </row>
    <row r="423" spans="1:3" x14ac:dyDescent="0.35">
      <c r="A423" s="1">
        <v>376</v>
      </c>
      <c r="B423" s="1" t="s">
        <v>35</v>
      </c>
      <c r="C423" s="1">
        <v>56.14782608695652</v>
      </c>
    </row>
    <row r="424" spans="1:3" x14ac:dyDescent="0.35">
      <c r="A424" s="1">
        <v>377</v>
      </c>
      <c r="B424" s="1" t="s">
        <v>37</v>
      </c>
      <c r="C424" s="1">
        <v>55.769784172661872</v>
      </c>
    </row>
    <row r="425" spans="1:3" x14ac:dyDescent="0.35">
      <c r="A425" s="1">
        <v>378</v>
      </c>
      <c r="B425" s="1" t="s">
        <v>36</v>
      </c>
      <c r="C425" s="1">
        <v>55.655172413793103</v>
      </c>
    </row>
    <row r="426" spans="1:3" x14ac:dyDescent="0.35">
      <c r="A426" s="1">
        <v>379</v>
      </c>
      <c r="B426" s="1" t="s">
        <v>34</v>
      </c>
      <c r="C426" s="1">
        <v>55.645161290322584</v>
      </c>
    </row>
    <row r="427" spans="1:3" x14ac:dyDescent="0.35">
      <c r="A427" s="1">
        <v>380</v>
      </c>
      <c r="B427" s="1" t="s">
        <v>35</v>
      </c>
      <c r="C427" s="1">
        <v>55.188034188034187</v>
      </c>
    </row>
    <row r="428" spans="1:3" x14ac:dyDescent="0.35">
      <c r="A428" s="1">
        <v>381</v>
      </c>
      <c r="B428" s="1" t="s">
        <v>37</v>
      </c>
      <c r="C428" s="1">
        <v>54.978723404255319</v>
      </c>
    </row>
    <row r="429" spans="1:3" x14ac:dyDescent="0.35">
      <c r="A429" s="1">
        <v>382</v>
      </c>
      <c r="B429" s="57" t="s">
        <v>30</v>
      </c>
      <c r="C429" s="57">
        <v>54.956521739130437</v>
      </c>
    </row>
    <row r="430" spans="1:3" x14ac:dyDescent="0.35">
      <c r="A430" s="1">
        <v>383</v>
      </c>
      <c r="B430" s="1" t="s">
        <v>34</v>
      </c>
      <c r="C430" s="1">
        <v>54.93630573248408</v>
      </c>
    </row>
    <row r="431" spans="1:3" x14ac:dyDescent="0.35">
      <c r="A431" s="1">
        <v>384</v>
      </c>
      <c r="B431" s="1" t="s">
        <v>36</v>
      </c>
      <c r="C431" s="1">
        <v>54.40449438202247</v>
      </c>
    </row>
    <row r="432" spans="1:3" x14ac:dyDescent="0.35">
      <c r="A432" s="1">
        <v>385</v>
      </c>
      <c r="B432" s="1" t="s">
        <v>35</v>
      </c>
      <c r="C432" s="1">
        <v>54.260504201680675</v>
      </c>
    </row>
    <row r="433" spans="1:3" x14ac:dyDescent="0.35">
      <c r="A433" s="1">
        <v>386</v>
      </c>
      <c r="B433" s="1" t="s">
        <v>34</v>
      </c>
      <c r="C433" s="1">
        <v>54.245283018867923</v>
      </c>
    </row>
    <row r="434" spans="1:3" x14ac:dyDescent="0.35">
      <c r="A434" s="1">
        <v>387</v>
      </c>
      <c r="B434" s="1" t="s">
        <v>37</v>
      </c>
      <c r="C434" s="1">
        <v>54.209790209790206</v>
      </c>
    </row>
    <row r="435" spans="1:3" x14ac:dyDescent="0.35">
      <c r="A435" s="1">
        <v>388</v>
      </c>
      <c r="B435" s="1" t="s">
        <v>34</v>
      </c>
      <c r="C435" s="1">
        <v>53.571428571428569</v>
      </c>
    </row>
    <row r="436" spans="1:3" x14ac:dyDescent="0.35">
      <c r="A436" s="1">
        <v>389</v>
      </c>
      <c r="B436" s="1" t="s">
        <v>37</v>
      </c>
      <c r="C436" s="1">
        <v>53.46206896551724</v>
      </c>
    </row>
    <row r="437" spans="1:3" x14ac:dyDescent="0.35">
      <c r="A437" s="1">
        <v>390</v>
      </c>
      <c r="B437" s="1" t="s">
        <v>35</v>
      </c>
      <c r="C437" s="1">
        <v>53.363636363636367</v>
      </c>
    </row>
    <row r="438" spans="1:3" x14ac:dyDescent="0.35">
      <c r="A438" s="1">
        <v>391</v>
      </c>
      <c r="B438" s="1" t="s">
        <v>36</v>
      </c>
      <c r="C438" s="1">
        <v>53.208791208791212</v>
      </c>
    </row>
    <row r="439" spans="1:3" x14ac:dyDescent="0.35">
      <c r="A439" s="1">
        <v>392</v>
      </c>
      <c r="B439" s="57" t="s">
        <v>31</v>
      </c>
      <c r="C439" s="57">
        <v>53.151515151515149</v>
      </c>
    </row>
    <row r="440" spans="1:3" x14ac:dyDescent="0.35">
      <c r="A440" s="1">
        <v>393</v>
      </c>
      <c r="B440" s="1" t="s">
        <v>34</v>
      </c>
      <c r="C440" s="1">
        <v>52.914110429447852</v>
      </c>
    </row>
    <row r="441" spans="1:3" x14ac:dyDescent="0.35">
      <c r="A441" s="1">
        <v>394</v>
      </c>
      <c r="B441" s="1" t="s">
        <v>32</v>
      </c>
      <c r="C441" s="1">
        <v>52.838709677419352</v>
      </c>
    </row>
    <row r="442" spans="1:3" x14ac:dyDescent="0.35">
      <c r="A442" s="1">
        <v>395</v>
      </c>
      <c r="B442" s="1" t="s">
        <v>37</v>
      </c>
      <c r="C442" s="1">
        <v>52.734693877551024</v>
      </c>
    </row>
    <row r="443" spans="1:3" x14ac:dyDescent="0.35">
      <c r="A443" s="1">
        <v>396</v>
      </c>
      <c r="B443" s="1" t="s">
        <v>35</v>
      </c>
      <c r="C443" s="1">
        <v>52.49593495934959</v>
      </c>
    </row>
    <row r="444" spans="1:3" x14ac:dyDescent="0.35">
      <c r="A444" s="1">
        <v>397</v>
      </c>
      <c r="B444" s="1" t="s">
        <v>34</v>
      </c>
      <c r="C444" s="1">
        <v>52.272727272727273</v>
      </c>
    </row>
    <row r="445" spans="1:3" x14ac:dyDescent="0.35">
      <c r="A445" s="1">
        <v>398</v>
      </c>
      <c r="B445" s="1" t="s">
        <v>36</v>
      </c>
      <c r="C445" s="1">
        <v>52.064516129032256</v>
      </c>
    </row>
    <row r="446" spans="1:3" x14ac:dyDescent="0.35">
      <c r="A446" s="1">
        <v>399</v>
      </c>
      <c r="B446" s="1" t="s">
        <v>37</v>
      </c>
      <c r="C446" s="1">
        <v>52.026845637583889</v>
      </c>
    </row>
    <row r="447" spans="1:3" x14ac:dyDescent="0.35">
      <c r="A447" s="1">
        <v>400</v>
      </c>
      <c r="B447" s="1" t="s">
        <v>35</v>
      </c>
      <c r="C447" s="1">
        <v>51.655999999999999</v>
      </c>
    </row>
    <row r="448" spans="1:3" x14ac:dyDescent="0.35">
      <c r="A448" s="1">
        <v>401</v>
      </c>
      <c r="B448" s="1" t="s">
        <v>34</v>
      </c>
      <c r="C448" s="1">
        <v>51.646706586826348</v>
      </c>
    </row>
    <row r="449" spans="1:3" x14ac:dyDescent="0.35">
      <c r="A449" s="1">
        <v>402</v>
      </c>
      <c r="B449" s="1" t="s">
        <v>37</v>
      </c>
      <c r="C449" s="1">
        <v>51.337748344370858</v>
      </c>
    </row>
    <row r="450" spans="1:3" x14ac:dyDescent="0.35">
      <c r="A450" s="1">
        <v>403</v>
      </c>
      <c r="B450" s="1" t="s">
        <v>34</v>
      </c>
      <c r="C450" s="1">
        <v>51.035502958579883</v>
      </c>
    </row>
    <row r="451" spans="1:3" x14ac:dyDescent="0.35">
      <c r="A451" s="1">
        <v>404</v>
      </c>
      <c r="B451" s="1" t="s">
        <v>36</v>
      </c>
      <c r="C451" s="1">
        <v>50.968421052631577</v>
      </c>
    </row>
    <row r="452" spans="1:3" x14ac:dyDescent="0.35">
      <c r="A452" s="1">
        <v>405</v>
      </c>
      <c r="B452" s="1" t="s">
        <v>35</v>
      </c>
      <c r="C452" s="1">
        <v>50.84251968503937</v>
      </c>
    </row>
    <row r="453" spans="1:3" x14ac:dyDescent="0.35">
      <c r="A453" s="1">
        <v>406</v>
      </c>
      <c r="B453" s="1" t="s">
        <v>37</v>
      </c>
      <c r="C453" s="1">
        <v>50.666666666666664</v>
      </c>
    </row>
    <row r="454" spans="1:3" x14ac:dyDescent="0.35">
      <c r="A454" s="1">
        <v>407</v>
      </c>
      <c r="B454" s="57" t="s">
        <v>30</v>
      </c>
      <c r="C454" s="57">
        <v>50.56</v>
      </c>
    </row>
    <row r="455" spans="1:3" x14ac:dyDescent="0.35">
      <c r="A455" s="1">
        <v>408</v>
      </c>
      <c r="B455" s="1" t="s">
        <v>34</v>
      </c>
      <c r="C455" s="1">
        <v>50.438596491228068</v>
      </c>
    </row>
    <row r="456" spans="1:3" x14ac:dyDescent="0.35">
      <c r="A456" s="1">
        <v>409</v>
      </c>
      <c r="B456" s="57" t="s">
        <v>31</v>
      </c>
      <c r="C456" s="57">
        <v>50.114285714285714</v>
      </c>
    </row>
    <row r="457" spans="1:3" x14ac:dyDescent="0.35">
      <c r="A457" s="1">
        <v>410</v>
      </c>
      <c r="B457" s="1" t="s">
        <v>35</v>
      </c>
      <c r="C457" s="1">
        <v>50.054263565891475</v>
      </c>
    </row>
    <row r="458" spans="1:3" x14ac:dyDescent="0.35">
      <c r="A458" s="1">
        <v>411</v>
      </c>
      <c r="B458" s="1" t="s">
        <v>37</v>
      </c>
      <c r="C458" s="1">
        <v>50.012903225806454</v>
      </c>
    </row>
    <row r="459" spans="1:3" x14ac:dyDescent="0.35">
      <c r="A459" s="1">
        <v>412</v>
      </c>
      <c r="B459" s="1" t="s">
        <v>36</v>
      </c>
      <c r="C459" s="1">
        <v>49.917525773195877</v>
      </c>
    </row>
    <row r="460" spans="1:3" x14ac:dyDescent="0.35">
      <c r="A460" s="1">
        <v>413</v>
      </c>
      <c r="B460" s="1" t="s">
        <v>34</v>
      </c>
      <c r="C460" s="1">
        <v>49.855491329479769</v>
      </c>
    </row>
    <row r="461" spans="1:3" x14ac:dyDescent="0.35">
      <c r="A461" s="1">
        <v>414</v>
      </c>
      <c r="B461" s="1" t="s">
        <v>32</v>
      </c>
      <c r="C461" s="1">
        <v>49.636363636363633</v>
      </c>
    </row>
    <row r="462" spans="1:3" x14ac:dyDescent="0.35">
      <c r="A462" s="1">
        <v>415</v>
      </c>
      <c r="B462" s="1" t="s">
        <v>37</v>
      </c>
      <c r="C462" s="1">
        <v>49.375796178343947</v>
      </c>
    </row>
    <row r="463" spans="1:3" x14ac:dyDescent="0.35">
      <c r="A463" s="1">
        <v>416</v>
      </c>
      <c r="B463" s="1" t="s">
        <v>35</v>
      </c>
      <c r="C463" s="1">
        <v>49.290076335877863</v>
      </c>
    </row>
    <row r="464" spans="1:3" x14ac:dyDescent="0.35">
      <c r="A464" s="1">
        <v>417</v>
      </c>
      <c r="B464" s="1" t="s">
        <v>36</v>
      </c>
      <c r="C464" s="1">
        <v>48.909090909090907</v>
      </c>
    </row>
    <row r="465" spans="1:3" x14ac:dyDescent="0.35">
      <c r="A465" s="1">
        <v>418</v>
      </c>
      <c r="B465" s="1" t="s">
        <v>37</v>
      </c>
      <c r="C465" s="1">
        <v>48.754716981132077</v>
      </c>
    </row>
    <row r="466" spans="1:3" x14ac:dyDescent="0.35">
      <c r="A466" s="1">
        <v>419</v>
      </c>
      <c r="B466" s="1" t="s">
        <v>35</v>
      </c>
      <c r="C466" s="1">
        <v>48.548872180451127</v>
      </c>
    </row>
    <row r="467" spans="1:3" x14ac:dyDescent="0.35">
      <c r="A467" s="1">
        <v>420</v>
      </c>
      <c r="B467" s="1" t="s">
        <v>37</v>
      </c>
      <c r="C467" s="1">
        <v>48.149068322981364</v>
      </c>
    </row>
    <row r="468" spans="1:3" x14ac:dyDescent="0.35">
      <c r="A468" s="1">
        <v>421</v>
      </c>
      <c r="B468" s="1" t="s">
        <v>36</v>
      </c>
      <c r="C468" s="1">
        <v>47.940594059405939</v>
      </c>
    </row>
    <row r="469" spans="1:3" x14ac:dyDescent="0.35">
      <c r="A469" s="1">
        <v>422</v>
      </c>
      <c r="B469" s="1" t="s">
        <v>35</v>
      </c>
      <c r="C469" s="1">
        <v>47.829629629629629</v>
      </c>
    </row>
    <row r="470" spans="1:3" x14ac:dyDescent="0.35">
      <c r="A470" s="1">
        <v>423</v>
      </c>
      <c r="B470" s="1" t="s">
        <v>37</v>
      </c>
      <c r="C470" s="1">
        <v>47.558282208588956</v>
      </c>
    </row>
    <row r="471" spans="1:3" x14ac:dyDescent="0.35">
      <c r="A471" s="1">
        <v>424</v>
      </c>
      <c r="B471" s="57" t="s">
        <v>31</v>
      </c>
      <c r="C471" s="57">
        <v>47.405405405405403</v>
      </c>
    </row>
    <row r="472" spans="1:3" x14ac:dyDescent="0.35">
      <c r="A472" s="1">
        <v>425</v>
      </c>
      <c r="B472" s="1" t="s">
        <v>35</v>
      </c>
      <c r="C472" s="1">
        <v>47.131386861313871</v>
      </c>
    </row>
    <row r="473" spans="1:3" x14ac:dyDescent="0.35">
      <c r="A473" s="1">
        <v>426</v>
      </c>
      <c r="B473" s="1" t="s">
        <v>36</v>
      </c>
      <c r="C473" s="1">
        <v>47.009708737864081</v>
      </c>
    </row>
    <row r="474" spans="1:3" x14ac:dyDescent="0.35">
      <c r="A474" s="1">
        <v>427</v>
      </c>
      <c r="B474" s="1" t="s">
        <v>37</v>
      </c>
      <c r="C474" s="1">
        <v>46.981818181818184</v>
      </c>
    </row>
    <row r="475" spans="1:3" x14ac:dyDescent="0.35">
      <c r="A475" s="1">
        <v>428</v>
      </c>
      <c r="B475" s="57" t="s">
        <v>30</v>
      </c>
      <c r="C475" s="57">
        <v>46.814814814814817</v>
      </c>
    </row>
    <row r="476" spans="1:3" x14ac:dyDescent="0.35">
      <c r="A476" s="1">
        <v>429</v>
      </c>
      <c r="B476" s="1" t="s">
        <v>32</v>
      </c>
      <c r="C476" s="1">
        <v>46.8</v>
      </c>
    </row>
    <row r="477" spans="1:3" x14ac:dyDescent="0.35">
      <c r="A477" s="1">
        <v>430</v>
      </c>
      <c r="B477" s="1" t="s">
        <v>35</v>
      </c>
      <c r="C477" s="1">
        <v>46.453237410071942</v>
      </c>
    </row>
    <row r="478" spans="1:3" x14ac:dyDescent="0.35">
      <c r="A478" s="1">
        <v>431</v>
      </c>
      <c r="B478" s="1" t="s">
        <v>37</v>
      </c>
      <c r="C478" s="1">
        <v>46.419161676646709</v>
      </c>
    </row>
    <row r="479" spans="1:3" x14ac:dyDescent="0.35">
      <c r="A479" s="1">
        <v>432</v>
      </c>
      <c r="B479" s="1" t="s">
        <v>36</v>
      </c>
      <c r="C479" s="1">
        <v>46.114285714285714</v>
      </c>
    </row>
    <row r="480" spans="1:3" x14ac:dyDescent="0.35">
      <c r="A480" s="1">
        <v>433</v>
      </c>
      <c r="B480" s="1" t="s">
        <v>37</v>
      </c>
      <c r="C480" s="1">
        <v>45.869822485207102</v>
      </c>
    </row>
    <row r="481" spans="1:3" x14ac:dyDescent="0.35">
      <c r="A481" s="1">
        <v>434</v>
      </c>
      <c r="B481" s="1" t="s">
        <v>35</v>
      </c>
      <c r="C481" s="1">
        <v>45.794326241134755</v>
      </c>
    </row>
    <row r="482" spans="1:3" x14ac:dyDescent="0.35">
      <c r="A482" s="1">
        <v>435</v>
      </c>
      <c r="B482" s="1" t="s">
        <v>37</v>
      </c>
      <c r="C482" s="1">
        <v>45.333333333333336</v>
      </c>
    </row>
    <row r="483" spans="1:3" x14ac:dyDescent="0.35">
      <c r="A483" s="1">
        <v>436</v>
      </c>
      <c r="B483" s="1" t="s">
        <v>36</v>
      </c>
      <c r="C483" s="1">
        <v>45.252336448598129</v>
      </c>
    </row>
    <row r="484" spans="1:3" x14ac:dyDescent="0.35">
      <c r="A484" s="1">
        <v>437</v>
      </c>
      <c r="B484" s="1" t="s">
        <v>35</v>
      </c>
      <c r="C484" s="1">
        <v>45.153846153846153</v>
      </c>
    </row>
    <row r="485" spans="1:3" x14ac:dyDescent="0.35">
      <c r="A485" s="1">
        <v>438</v>
      </c>
      <c r="B485" s="57" t="s">
        <v>31</v>
      </c>
      <c r="C485" s="57">
        <v>44.974358974358971</v>
      </c>
    </row>
    <row r="486" spans="1:3" x14ac:dyDescent="0.35">
      <c r="A486" s="1">
        <v>439</v>
      </c>
      <c r="B486" s="1" t="s">
        <v>37</v>
      </c>
      <c r="C486" s="1">
        <v>44.809248554913296</v>
      </c>
    </row>
    <row r="487" spans="1:3" x14ac:dyDescent="0.35">
      <c r="A487" s="1">
        <v>440</v>
      </c>
      <c r="B487" s="1" t="s">
        <v>35</v>
      </c>
      <c r="C487" s="1">
        <v>44.531034482758621</v>
      </c>
    </row>
    <row r="488" spans="1:3" x14ac:dyDescent="0.35">
      <c r="A488" s="1">
        <v>441</v>
      </c>
      <c r="B488" s="1" t="s">
        <v>36</v>
      </c>
      <c r="C488" s="1">
        <v>44.422018348623851</v>
      </c>
    </row>
    <row r="489" spans="1:3" x14ac:dyDescent="0.35">
      <c r="A489" s="1">
        <v>442</v>
      </c>
      <c r="B489" s="1" t="s">
        <v>32</v>
      </c>
      <c r="C489" s="1">
        <v>44.270270270270274</v>
      </c>
    </row>
    <row r="490" spans="1:3" x14ac:dyDescent="0.35">
      <c r="A490" s="1">
        <v>443</v>
      </c>
      <c r="B490" s="1" t="s">
        <v>35</v>
      </c>
      <c r="C490" s="1">
        <v>43.925170068027214</v>
      </c>
    </row>
    <row r="491" spans="1:3" x14ac:dyDescent="0.35">
      <c r="A491" s="1">
        <v>444</v>
      </c>
      <c r="B491" s="1" t="s">
        <v>36</v>
      </c>
      <c r="C491" s="1">
        <v>43.621621621621621</v>
      </c>
    </row>
    <row r="492" spans="1:3" x14ac:dyDescent="0.35">
      <c r="A492" s="1">
        <v>445</v>
      </c>
      <c r="B492" s="57" t="s">
        <v>30</v>
      </c>
      <c r="C492" s="57">
        <v>43.586206896551722</v>
      </c>
    </row>
    <row r="493" spans="1:3" x14ac:dyDescent="0.35">
      <c r="A493" s="1">
        <v>446</v>
      </c>
      <c r="B493" s="1" t="s">
        <v>35</v>
      </c>
      <c r="C493" s="1">
        <v>43.335570469798661</v>
      </c>
    </row>
    <row r="494" spans="1:3" x14ac:dyDescent="0.35">
      <c r="A494" s="1">
        <v>447</v>
      </c>
      <c r="B494" s="1" t="s">
        <v>36</v>
      </c>
      <c r="C494" s="1">
        <v>42.849557522123895</v>
      </c>
    </row>
    <row r="495" spans="1:3" x14ac:dyDescent="0.35">
      <c r="A495" s="1">
        <v>448</v>
      </c>
      <c r="B495" s="57" t="s">
        <v>31</v>
      </c>
      <c r="C495" s="57">
        <v>42.780487804878049</v>
      </c>
    </row>
    <row r="496" spans="1:3" x14ac:dyDescent="0.35">
      <c r="A496" s="1">
        <v>449</v>
      </c>
      <c r="B496" s="1" t="s">
        <v>35</v>
      </c>
      <c r="C496" s="1">
        <v>42.76158940397351</v>
      </c>
    </row>
    <row r="497" spans="1:3" x14ac:dyDescent="0.35">
      <c r="A497" s="1">
        <v>450</v>
      </c>
      <c r="B497" s="1" t="s">
        <v>35</v>
      </c>
      <c r="C497" s="1">
        <v>42.20261437908497</v>
      </c>
    </row>
    <row r="498" spans="1:3" x14ac:dyDescent="0.35">
      <c r="A498" s="1">
        <v>451</v>
      </c>
      <c r="B498" s="1" t="s">
        <v>36</v>
      </c>
      <c r="C498" s="1">
        <v>42.104347826086958</v>
      </c>
    </row>
    <row r="499" spans="1:3" x14ac:dyDescent="0.35">
      <c r="A499" s="1">
        <v>452</v>
      </c>
      <c r="B499" s="1" t="s">
        <v>32</v>
      </c>
      <c r="C499" s="1">
        <v>42</v>
      </c>
    </row>
    <row r="500" spans="1:3" x14ac:dyDescent="0.35">
      <c r="A500" s="1">
        <v>453</v>
      </c>
      <c r="B500" s="1" t="s">
        <v>35</v>
      </c>
      <c r="C500" s="1">
        <v>41.658064516129031</v>
      </c>
    </row>
    <row r="501" spans="1:3" x14ac:dyDescent="0.35">
      <c r="A501" s="1">
        <v>454</v>
      </c>
      <c r="B501" s="1" t="s">
        <v>36</v>
      </c>
      <c r="C501" s="1">
        <v>41.384615384615387</v>
      </c>
    </row>
    <row r="502" spans="1:3" x14ac:dyDescent="0.35">
      <c r="A502" s="1">
        <v>455</v>
      </c>
      <c r="B502" s="1" t="s">
        <v>35</v>
      </c>
      <c r="C502" s="1">
        <v>41.127388535031848</v>
      </c>
    </row>
    <row r="503" spans="1:3" x14ac:dyDescent="0.35">
      <c r="A503" s="1">
        <v>456</v>
      </c>
      <c r="B503" s="57" t="s">
        <v>31</v>
      </c>
      <c r="C503" s="57">
        <v>40.790697674418603</v>
      </c>
    </row>
    <row r="504" spans="1:3" x14ac:dyDescent="0.35">
      <c r="A504" s="1">
        <v>457</v>
      </c>
      <c r="B504" s="57" t="s">
        <v>30</v>
      </c>
      <c r="C504" s="57">
        <v>40.774193548387096</v>
      </c>
    </row>
    <row r="505" spans="1:3" x14ac:dyDescent="0.35">
      <c r="A505" s="1">
        <v>458</v>
      </c>
      <c r="B505" s="1" t="s">
        <v>36</v>
      </c>
      <c r="C505" s="1">
        <v>40.689075630252098</v>
      </c>
    </row>
    <row r="506" spans="1:3" x14ac:dyDescent="0.35">
      <c r="A506" s="1">
        <v>459</v>
      </c>
      <c r="B506" s="1" t="s">
        <v>35</v>
      </c>
      <c r="C506" s="1">
        <v>40.610062893081761</v>
      </c>
    </row>
    <row r="507" spans="1:3" x14ac:dyDescent="0.35">
      <c r="A507" s="1">
        <v>460</v>
      </c>
      <c r="B507" s="1" t="s">
        <v>35</v>
      </c>
      <c r="C507" s="1">
        <v>40.105590062111801</v>
      </c>
    </row>
    <row r="508" spans="1:3" x14ac:dyDescent="0.35">
      <c r="A508" s="1">
        <v>461</v>
      </c>
      <c r="B508" s="1" t="s">
        <v>36</v>
      </c>
      <c r="C508" s="1">
        <v>40.016528925619838</v>
      </c>
    </row>
    <row r="509" spans="1:3" x14ac:dyDescent="0.35">
      <c r="A509" s="1">
        <v>462</v>
      </c>
      <c r="B509" s="1" t="s">
        <v>32</v>
      </c>
      <c r="C509" s="1">
        <v>39.951219512195124</v>
      </c>
    </row>
    <row r="510" spans="1:3" x14ac:dyDescent="0.35">
      <c r="A510" s="1">
        <v>463</v>
      </c>
      <c r="B510" s="1" t="s">
        <v>35</v>
      </c>
      <c r="C510" s="1">
        <v>39.613496932515339</v>
      </c>
    </row>
    <row r="511" spans="1:3" x14ac:dyDescent="0.35">
      <c r="A511" s="1">
        <v>464</v>
      </c>
      <c r="B511" s="1" t="s">
        <v>36</v>
      </c>
      <c r="C511" s="1">
        <v>39.365853658536587</v>
      </c>
    </row>
    <row r="512" spans="1:3" x14ac:dyDescent="0.35">
      <c r="A512" s="1">
        <v>465</v>
      </c>
      <c r="B512" s="1" t="s">
        <v>35</v>
      </c>
      <c r="C512" s="1">
        <v>39.133333333333333</v>
      </c>
    </row>
    <row r="513" spans="1:3" x14ac:dyDescent="0.35">
      <c r="A513" s="1">
        <v>466</v>
      </c>
      <c r="B513" s="57" t="s">
        <v>31</v>
      </c>
      <c r="C513" s="57">
        <v>38.977777777777774</v>
      </c>
    </row>
    <row r="514" spans="1:3" x14ac:dyDescent="0.35">
      <c r="A514" s="1">
        <v>467</v>
      </c>
      <c r="B514" s="1" t="s">
        <v>36</v>
      </c>
      <c r="C514" s="1">
        <v>38.735999999999997</v>
      </c>
    </row>
    <row r="515" spans="1:3" x14ac:dyDescent="0.35">
      <c r="A515" s="1">
        <v>468</v>
      </c>
      <c r="B515" s="1" t="s">
        <v>35</v>
      </c>
      <c r="C515" s="1">
        <v>38.664670658682631</v>
      </c>
    </row>
    <row r="516" spans="1:3" x14ac:dyDescent="0.35">
      <c r="A516" s="1">
        <v>469</v>
      </c>
      <c r="B516" s="57" t="s">
        <v>30</v>
      </c>
      <c r="C516" s="57">
        <v>38.303030303030305</v>
      </c>
    </row>
    <row r="517" spans="1:3" x14ac:dyDescent="0.35">
      <c r="A517" s="1">
        <v>470</v>
      </c>
      <c r="B517" s="1" t="s">
        <v>35</v>
      </c>
      <c r="C517" s="1">
        <v>38.207100591715978</v>
      </c>
    </row>
    <row r="518" spans="1:3" x14ac:dyDescent="0.35">
      <c r="A518" s="1">
        <v>471</v>
      </c>
      <c r="B518" s="1" t="s">
        <v>36</v>
      </c>
      <c r="C518" s="1">
        <v>38.125984251968504</v>
      </c>
    </row>
    <row r="519" spans="1:3" x14ac:dyDescent="0.35">
      <c r="A519" s="1">
        <v>472</v>
      </c>
      <c r="B519" s="1" t="s">
        <v>32</v>
      </c>
      <c r="C519" s="1">
        <v>38.093023255813954</v>
      </c>
    </row>
    <row r="520" spans="1:3" x14ac:dyDescent="0.35">
      <c r="A520" s="1">
        <v>473</v>
      </c>
      <c r="B520" s="1" t="s">
        <v>35</v>
      </c>
      <c r="C520" s="1">
        <v>37.760233918128655</v>
      </c>
    </row>
    <row r="521" spans="1:3" x14ac:dyDescent="0.35">
      <c r="A521" s="1">
        <v>474</v>
      </c>
      <c r="B521" s="1" t="s">
        <v>36</v>
      </c>
      <c r="C521" s="1">
        <v>37.534883720930232</v>
      </c>
    </row>
    <row r="522" spans="1:3" x14ac:dyDescent="0.35">
      <c r="A522" s="1">
        <v>475</v>
      </c>
      <c r="B522" s="1" t="s">
        <v>35</v>
      </c>
      <c r="C522" s="1">
        <v>37.323699421965316</v>
      </c>
    </row>
    <row r="523" spans="1:3" x14ac:dyDescent="0.35">
      <c r="A523" s="1">
        <v>476</v>
      </c>
      <c r="B523" s="57" t="s">
        <v>31</v>
      </c>
      <c r="C523" s="57">
        <v>37.319148936170215</v>
      </c>
    </row>
    <row r="524" spans="1:3" x14ac:dyDescent="0.35">
      <c r="A524" s="1">
        <v>477</v>
      </c>
      <c r="B524" s="1" t="s">
        <v>36</v>
      </c>
      <c r="C524" s="1">
        <v>36.961832061068705</v>
      </c>
    </row>
    <row r="525" spans="1:3" x14ac:dyDescent="0.35">
      <c r="A525" s="1">
        <v>478</v>
      </c>
      <c r="B525" s="1" t="s">
        <v>36</v>
      </c>
      <c r="C525" s="1">
        <v>36.406015037593988</v>
      </c>
    </row>
    <row r="526" spans="1:3" x14ac:dyDescent="0.35">
      <c r="A526" s="1">
        <v>479</v>
      </c>
      <c r="B526" s="1" t="s">
        <v>32</v>
      </c>
      <c r="C526" s="1">
        <v>36.4</v>
      </c>
    </row>
    <row r="527" spans="1:3" x14ac:dyDescent="0.35">
      <c r="A527" s="1">
        <v>480</v>
      </c>
      <c r="B527" s="57" t="s">
        <v>30</v>
      </c>
      <c r="C527" s="57">
        <v>36.114285714285714</v>
      </c>
    </row>
    <row r="528" spans="1:3" x14ac:dyDescent="0.35">
      <c r="A528" s="1">
        <v>481</v>
      </c>
      <c r="B528" s="1" t="s">
        <v>36</v>
      </c>
      <c r="C528" s="1">
        <v>35.866666666666667</v>
      </c>
    </row>
    <row r="529" spans="1:3" x14ac:dyDescent="0.35">
      <c r="A529" s="1">
        <v>482</v>
      </c>
      <c r="B529" s="57" t="s">
        <v>31</v>
      </c>
      <c r="C529" s="57">
        <v>35.795918367346935</v>
      </c>
    </row>
    <row r="530" spans="1:3" x14ac:dyDescent="0.35">
      <c r="A530" s="1">
        <v>483</v>
      </c>
      <c r="B530" s="1" t="s">
        <v>36</v>
      </c>
      <c r="C530" s="1">
        <v>35.34306569343066</v>
      </c>
    </row>
    <row r="531" spans="1:3" x14ac:dyDescent="0.35">
      <c r="A531" s="1">
        <v>484</v>
      </c>
      <c r="B531" s="1" t="s">
        <v>32</v>
      </c>
      <c r="C531" s="1">
        <v>34.851063829787236</v>
      </c>
    </row>
    <row r="532" spans="1:3" x14ac:dyDescent="0.35">
      <c r="A532" s="1">
        <v>485</v>
      </c>
      <c r="B532" s="1" t="s">
        <v>36</v>
      </c>
      <c r="C532" s="1">
        <v>34.834532374100718</v>
      </c>
    </row>
    <row r="533" spans="1:3" x14ac:dyDescent="0.35">
      <c r="A533" s="1">
        <v>486</v>
      </c>
      <c r="B533" s="57" t="s">
        <v>31</v>
      </c>
      <c r="C533" s="57">
        <v>34.392156862745097</v>
      </c>
    </row>
    <row r="534" spans="1:3" x14ac:dyDescent="0.35">
      <c r="A534" s="1">
        <v>487</v>
      </c>
      <c r="B534" s="1" t="s">
        <v>36</v>
      </c>
      <c r="C534" s="1">
        <v>34.340425531914896</v>
      </c>
    </row>
    <row r="535" spans="1:3" x14ac:dyDescent="0.35">
      <c r="A535" s="1">
        <v>488</v>
      </c>
      <c r="B535" s="57" t="s">
        <v>30</v>
      </c>
      <c r="C535" s="57">
        <v>34.162162162162161</v>
      </c>
    </row>
    <row r="536" spans="1:3" x14ac:dyDescent="0.35">
      <c r="A536" s="1">
        <v>489</v>
      </c>
      <c r="B536" s="1" t="s">
        <v>36</v>
      </c>
      <c r="C536" s="1">
        <v>33.86013986013986</v>
      </c>
    </row>
    <row r="537" spans="1:3" x14ac:dyDescent="0.35">
      <c r="A537" s="1">
        <v>490</v>
      </c>
      <c r="B537" s="1" t="s">
        <v>32</v>
      </c>
      <c r="C537" s="1">
        <v>33.428571428571431</v>
      </c>
    </row>
    <row r="538" spans="1:3" x14ac:dyDescent="0.35">
      <c r="A538" s="1">
        <v>491</v>
      </c>
      <c r="B538" s="1" t="s">
        <v>36</v>
      </c>
      <c r="C538" s="1">
        <v>33.393103448275859</v>
      </c>
    </row>
    <row r="539" spans="1:3" x14ac:dyDescent="0.35">
      <c r="A539" s="1">
        <v>492</v>
      </c>
      <c r="B539" s="57" t="s">
        <v>31</v>
      </c>
      <c r="C539" s="57">
        <v>33.094339622641506</v>
      </c>
    </row>
    <row r="540" spans="1:3" x14ac:dyDescent="0.35">
      <c r="A540" s="1">
        <v>493</v>
      </c>
      <c r="B540" s="1" t="s">
        <v>36</v>
      </c>
      <c r="C540" s="1">
        <v>32.938775510204081</v>
      </c>
    </row>
    <row r="541" spans="1:3" x14ac:dyDescent="0.35">
      <c r="A541" s="1">
        <v>494</v>
      </c>
      <c r="B541" s="1" t="s">
        <v>36</v>
      </c>
      <c r="C541" s="1">
        <v>32.496644295302012</v>
      </c>
    </row>
    <row r="542" spans="1:3" x14ac:dyDescent="0.35">
      <c r="A542" s="1">
        <v>495</v>
      </c>
      <c r="B542" s="57" t="s">
        <v>30</v>
      </c>
      <c r="C542" s="57">
        <v>32.410256410256409</v>
      </c>
    </row>
    <row r="543" spans="1:3" x14ac:dyDescent="0.35">
      <c r="A543" s="1">
        <v>496</v>
      </c>
      <c r="B543" s="1" t="s">
        <v>32</v>
      </c>
      <c r="C543" s="1">
        <v>32.117647058823529</v>
      </c>
    </row>
    <row r="544" spans="1:3" x14ac:dyDescent="0.35">
      <c r="A544" s="1">
        <v>497</v>
      </c>
      <c r="B544" s="1" t="s">
        <v>36</v>
      </c>
      <c r="C544" s="1">
        <v>32.066225165562912</v>
      </c>
    </row>
    <row r="545" spans="1:3" x14ac:dyDescent="0.35">
      <c r="A545" s="1">
        <v>498</v>
      </c>
      <c r="B545" s="57" t="s">
        <v>31</v>
      </c>
      <c r="C545" s="57">
        <v>31.890909090909091</v>
      </c>
    </row>
    <row r="546" spans="1:3" x14ac:dyDescent="0.35">
      <c r="A546" s="1">
        <v>499</v>
      </c>
      <c r="B546" s="1" t="s">
        <v>36</v>
      </c>
      <c r="C546" s="1">
        <v>31.647058823529413</v>
      </c>
    </row>
    <row r="547" spans="1:3" x14ac:dyDescent="0.35">
      <c r="A547" s="1">
        <v>500</v>
      </c>
      <c r="B547" s="1" t="s">
        <v>36</v>
      </c>
      <c r="C547" s="1">
        <v>31.238709677419354</v>
      </c>
    </row>
    <row r="548" spans="1:3" x14ac:dyDescent="0.35">
      <c r="A548" s="1">
        <v>501</v>
      </c>
      <c r="B548" s="1" t="s">
        <v>32</v>
      </c>
      <c r="C548" s="1">
        <v>30.90566037735849</v>
      </c>
    </row>
    <row r="549" spans="1:3" x14ac:dyDescent="0.35">
      <c r="A549" s="1">
        <v>502</v>
      </c>
      <c r="B549" s="1" t="s">
        <v>36</v>
      </c>
      <c r="C549" s="1">
        <v>30.840764331210192</v>
      </c>
    </row>
    <row r="550" spans="1:3" x14ac:dyDescent="0.35">
      <c r="A550" s="1">
        <v>503</v>
      </c>
      <c r="B550" s="57" t="s">
        <v>30</v>
      </c>
      <c r="C550" s="57">
        <v>30.829268292682926</v>
      </c>
    </row>
    <row r="551" spans="1:3" x14ac:dyDescent="0.35">
      <c r="A551" s="1">
        <v>504</v>
      </c>
      <c r="B551" s="57" t="s">
        <v>31</v>
      </c>
      <c r="C551" s="57">
        <v>30.771929824561404</v>
      </c>
    </row>
    <row r="552" spans="1:3" x14ac:dyDescent="0.35">
      <c r="A552" s="1">
        <v>505</v>
      </c>
      <c r="B552" s="1" t="s">
        <v>36</v>
      </c>
      <c r="C552" s="1">
        <v>30.452830188679247</v>
      </c>
    </row>
    <row r="553" spans="1:3" x14ac:dyDescent="0.35">
      <c r="A553" s="1">
        <v>506</v>
      </c>
      <c r="B553" s="1" t="s">
        <v>36</v>
      </c>
      <c r="C553" s="1">
        <v>30.074534161490682</v>
      </c>
    </row>
    <row r="554" spans="1:3" x14ac:dyDescent="0.35">
      <c r="A554" s="1">
        <v>507</v>
      </c>
      <c r="B554" s="1" t="s">
        <v>32</v>
      </c>
      <c r="C554" s="1">
        <v>29.781818181818181</v>
      </c>
    </row>
    <row r="555" spans="1:3" x14ac:dyDescent="0.35">
      <c r="A555" s="1">
        <v>508</v>
      </c>
      <c r="B555" s="57" t="s">
        <v>31</v>
      </c>
      <c r="C555" s="57">
        <v>29.728813559322035</v>
      </c>
    </row>
    <row r="556" spans="1:3" x14ac:dyDescent="0.35">
      <c r="A556" s="1">
        <v>509</v>
      </c>
      <c r="B556" s="1" t="s">
        <v>36</v>
      </c>
      <c r="C556" s="1">
        <v>29.70552147239264</v>
      </c>
    </row>
    <row r="557" spans="1:3" x14ac:dyDescent="0.35">
      <c r="A557" s="1">
        <v>510</v>
      </c>
      <c r="B557" s="57" t="s">
        <v>30</v>
      </c>
      <c r="C557" s="57">
        <v>29.395348837209301</v>
      </c>
    </row>
    <row r="558" spans="1:3" x14ac:dyDescent="0.35">
      <c r="A558" s="1">
        <v>511</v>
      </c>
      <c r="B558" s="1" t="s">
        <v>36</v>
      </c>
      <c r="C558" s="1">
        <v>29.345454545454544</v>
      </c>
    </row>
    <row r="559" spans="1:3" x14ac:dyDescent="0.35">
      <c r="A559" s="1">
        <v>512</v>
      </c>
      <c r="B559" s="1" t="s">
        <v>36</v>
      </c>
      <c r="C559" s="1">
        <v>28.994011976047904</v>
      </c>
    </row>
    <row r="560" spans="1:3" x14ac:dyDescent="0.35">
      <c r="A560" s="1">
        <v>513</v>
      </c>
      <c r="B560" s="57" t="s">
        <v>31</v>
      </c>
      <c r="C560" s="57">
        <v>28.754098360655739</v>
      </c>
    </row>
    <row r="561" spans="1:3" x14ac:dyDescent="0.35">
      <c r="A561" s="1">
        <v>514</v>
      </c>
      <c r="B561" s="1" t="s">
        <v>32</v>
      </c>
      <c r="C561" s="1">
        <v>28.736842105263158</v>
      </c>
    </row>
    <row r="562" spans="1:3" x14ac:dyDescent="0.35">
      <c r="A562" s="1">
        <v>515</v>
      </c>
      <c r="B562" s="1" t="s">
        <v>36</v>
      </c>
      <c r="C562" s="1">
        <v>28.650887573964496</v>
      </c>
    </row>
    <row r="563" spans="1:3" x14ac:dyDescent="0.35">
      <c r="A563" s="1">
        <v>516</v>
      </c>
      <c r="B563" s="1" t="s">
        <v>36</v>
      </c>
      <c r="C563" s="1">
        <v>28.315789473684209</v>
      </c>
    </row>
    <row r="564" spans="1:3" x14ac:dyDescent="0.35">
      <c r="A564" s="1">
        <v>517</v>
      </c>
      <c r="B564" s="57" t="s">
        <v>30</v>
      </c>
      <c r="C564" s="57">
        <v>28.088888888888889</v>
      </c>
    </row>
    <row r="565" spans="1:3" x14ac:dyDescent="0.35">
      <c r="A565" s="1">
        <v>518</v>
      </c>
      <c r="B565" s="1" t="s">
        <v>36</v>
      </c>
      <c r="C565" s="1">
        <v>27.98843930635838</v>
      </c>
    </row>
    <row r="566" spans="1:3" x14ac:dyDescent="0.35">
      <c r="A566" s="1">
        <v>519</v>
      </c>
      <c r="B566" s="57" t="s">
        <v>31</v>
      </c>
      <c r="C566" s="57">
        <v>27.841269841269842</v>
      </c>
    </row>
    <row r="567" spans="1:3" x14ac:dyDescent="0.35">
      <c r="A567" s="1">
        <v>520</v>
      </c>
      <c r="B567" s="1" t="s">
        <v>32</v>
      </c>
      <c r="C567" s="1">
        <v>27.762711864406779</v>
      </c>
    </row>
    <row r="568" spans="1:3" x14ac:dyDescent="0.35">
      <c r="A568" s="1">
        <v>521</v>
      </c>
      <c r="B568" s="57" t="s">
        <v>31</v>
      </c>
      <c r="C568" s="57">
        <v>26.984615384615385</v>
      </c>
    </row>
    <row r="569" spans="1:3" x14ac:dyDescent="0.35">
      <c r="A569" s="1">
        <v>522</v>
      </c>
      <c r="B569" s="57" t="s">
        <v>30</v>
      </c>
      <c r="C569" s="57">
        <v>26.893617021276597</v>
      </c>
    </row>
    <row r="570" spans="1:3" x14ac:dyDescent="0.35">
      <c r="A570" s="1">
        <v>523</v>
      </c>
      <c r="B570" s="1" t="s">
        <v>32</v>
      </c>
      <c r="C570" s="1">
        <v>26.852459016393443</v>
      </c>
    </row>
    <row r="571" spans="1:3" x14ac:dyDescent="0.35">
      <c r="A571" s="1">
        <v>524</v>
      </c>
      <c r="B571" s="57" t="s">
        <v>31</v>
      </c>
      <c r="C571" s="57">
        <v>26.17910447761194</v>
      </c>
    </row>
    <row r="572" spans="1:3" x14ac:dyDescent="0.35">
      <c r="A572" s="1">
        <v>525</v>
      </c>
      <c r="B572" s="1" t="s">
        <v>32</v>
      </c>
      <c r="C572" s="1">
        <v>26</v>
      </c>
    </row>
    <row r="573" spans="1:3" x14ac:dyDescent="0.35">
      <c r="A573" s="1">
        <v>526</v>
      </c>
      <c r="B573" s="57" t="s">
        <v>30</v>
      </c>
      <c r="C573" s="57">
        <v>25.795918367346939</v>
      </c>
    </row>
    <row r="574" spans="1:3" x14ac:dyDescent="0.35">
      <c r="A574" s="1">
        <v>527</v>
      </c>
      <c r="B574" s="57" t="s">
        <v>31</v>
      </c>
      <c r="C574" s="57">
        <v>25.420289855072465</v>
      </c>
    </row>
    <row r="575" spans="1:3" x14ac:dyDescent="0.35">
      <c r="A575" s="1">
        <v>528</v>
      </c>
      <c r="B575" s="1" t="s">
        <v>32</v>
      </c>
      <c r="C575" s="1">
        <v>25.2</v>
      </c>
    </row>
    <row r="576" spans="1:3" x14ac:dyDescent="0.35">
      <c r="A576" s="1">
        <v>529</v>
      </c>
      <c r="B576" s="57" t="s">
        <v>30</v>
      </c>
      <c r="C576" s="57">
        <v>24.784313725490197</v>
      </c>
    </row>
    <row r="577" spans="1:3" x14ac:dyDescent="0.35">
      <c r="A577" s="1">
        <v>530</v>
      </c>
      <c r="B577" s="57" t="s">
        <v>31</v>
      </c>
      <c r="C577" s="57">
        <v>24.704225352112676</v>
      </c>
    </row>
    <row r="578" spans="1:3" x14ac:dyDescent="0.35">
      <c r="A578" s="1">
        <v>531</v>
      </c>
      <c r="B578" s="1" t="s">
        <v>32</v>
      </c>
      <c r="C578" s="1">
        <v>24.447761194029852</v>
      </c>
    </row>
    <row r="579" spans="1:3" x14ac:dyDescent="0.35">
      <c r="A579" s="1">
        <v>532</v>
      </c>
      <c r="B579" s="57" t="s">
        <v>31</v>
      </c>
      <c r="C579" s="57">
        <v>24.027397260273972</v>
      </c>
    </row>
    <row r="580" spans="1:3" x14ac:dyDescent="0.35">
      <c r="A580" s="1">
        <v>533</v>
      </c>
      <c r="B580" s="57" t="s">
        <v>30</v>
      </c>
      <c r="C580" s="57">
        <v>23.849056603773583</v>
      </c>
    </row>
    <row r="581" spans="1:3" x14ac:dyDescent="0.35">
      <c r="A581" s="1">
        <v>534</v>
      </c>
      <c r="B581" s="1" t="s">
        <v>32</v>
      </c>
      <c r="C581" s="1">
        <v>23.739130434782609</v>
      </c>
    </row>
    <row r="582" spans="1:3" x14ac:dyDescent="0.35">
      <c r="A582" s="1">
        <v>535</v>
      </c>
      <c r="B582" s="57" t="s">
        <v>31</v>
      </c>
      <c r="C582" s="57">
        <v>23.386666666666667</v>
      </c>
    </row>
    <row r="583" spans="1:3" x14ac:dyDescent="0.35">
      <c r="A583" s="1">
        <v>536</v>
      </c>
      <c r="B583" s="1" t="s">
        <v>32</v>
      </c>
      <c r="C583" s="1">
        <v>23.070422535211268</v>
      </c>
    </row>
    <row r="584" spans="1:3" x14ac:dyDescent="0.35">
      <c r="A584" s="1">
        <v>537</v>
      </c>
      <c r="B584" s="57" t="s">
        <v>30</v>
      </c>
      <c r="C584" s="57">
        <v>22.981818181818181</v>
      </c>
    </row>
    <row r="585" spans="1:3" x14ac:dyDescent="0.35">
      <c r="A585" s="1">
        <v>538</v>
      </c>
      <c r="B585" s="57" t="s">
        <v>31</v>
      </c>
      <c r="C585" s="57">
        <v>22.779220779220779</v>
      </c>
    </row>
    <row r="586" spans="1:3" x14ac:dyDescent="0.35">
      <c r="A586" s="1">
        <v>539</v>
      </c>
      <c r="B586" s="1" t="s">
        <v>32</v>
      </c>
      <c r="C586" s="1">
        <v>22.438356164383563</v>
      </c>
    </row>
    <row r="587" spans="1:3" x14ac:dyDescent="0.35">
      <c r="A587" s="1">
        <v>540</v>
      </c>
      <c r="B587" s="57" t="s">
        <v>31</v>
      </c>
      <c r="C587" s="57">
        <v>22.202531645569621</v>
      </c>
    </row>
    <row r="588" spans="1:3" x14ac:dyDescent="0.35">
      <c r="A588" s="1">
        <v>541</v>
      </c>
      <c r="B588" s="57" t="s">
        <v>30</v>
      </c>
      <c r="C588" s="57">
        <v>22.17543859649123</v>
      </c>
    </row>
    <row r="589" spans="1:3" x14ac:dyDescent="0.35">
      <c r="A589" s="1">
        <v>542</v>
      </c>
      <c r="B589" s="1" t="s">
        <v>32</v>
      </c>
      <c r="C589" s="1">
        <v>21.84</v>
      </c>
    </row>
    <row r="590" spans="1:3" x14ac:dyDescent="0.35">
      <c r="A590" s="1">
        <v>543</v>
      </c>
      <c r="B590" s="57" t="s">
        <v>31</v>
      </c>
      <c r="C590" s="57">
        <v>21.654320987654319</v>
      </c>
    </row>
    <row r="591" spans="1:3" x14ac:dyDescent="0.35">
      <c r="A591" s="1">
        <v>544</v>
      </c>
      <c r="B591" s="57" t="s">
        <v>30</v>
      </c>
      <c r="C591" s="57">
        <v>21.423728813559322</v>
      </c>
    </row>
    <row r="592" spans="1:3" x14ac:dyDescent="0.35">
      <c r="A592" s="1">
        <v>545</v>
      </c>
      <c r="B592" s="1" t="s">
        <v>32</v>
      </c>
      <c r="C592" s="1">
        <v>21.272727272727273</v>
      </c>
    </row>
    <row r="593" spans="1:3" x14ac:dyDescent="0.35">
      <c r="A593" s="1">
        <v>546</v>
      </c>
      <c r="B593" s="57" t="s">
        <v>31</v>
      </c>
      <c r="C593" s="57">
        <v>21.132530120481928</v>
      </c>
    </row>
    <row r="594" spans="1:3" x14ac:dyDescent="0.35">
      <c r="A594" s="1">
        <v>547</v>
      </c>
      <c r="B594" s="1" t="s">
        <v>32</v>
      </c>
      <c r="C594" s="1">
        <v>20.734177215189874</v>
      </c>
    </row>
    <row r="595" spans="1:3" x14ac:dyDescent="0.35">
      <c r="A595" s="1">
        <v>548</v>
      </c>
      <c r="B595" s="57" t="s">
        <v>30</v>
      </c>
      <c r="C595" s="57">
        <v>20.721311475409838</v>
      </c>
    </row>
    <row r="596" spans="1:3" x14ac:dyDescent="0.35">
      <c r="A596" s="1">
        <v>549</v>
      </c>
      <c r="B596" s="57" t="s">
        <v>31</v>
      </c>
      <c r="C596" s="57">
        <v>20.63529411764706</v>
      </c>
    </row>
    <row r="597" spans="1:3" x14ac:dyDescent="0.35">
      <c r="A597" s="1">
        <v>550</v>
      </c>
      <c r="B597" s="1" t="s">
        <v>32</v>
      </c>
      <c r="C597" s="1">
        <v>20.222222222222221</v>
      </c>
    </row>
    <row r="598" spans="1:3" x14ac:dyDescent="0.35">
      <c r="A598" s="1">
        <v>551</v>
      </c>
      <c r="B598" s="57" t="s">
        <v>31</v>
      </c>
      <c r="C598" s="57">
        <v>20.160919540229884</v>
      </c>
    </row>
    <row r="599" spans="1:3" x14ac:dyDescent="0.35">
      <c r="A599" s="1">
        <v>552</v>
      </c>
      <c r="B599" s="57" t="s">
        <v>30</v>
      </c>
      <c r="C599" s="57">
        <v>20.063492063492063</v>
      </c>
    </row>
    <row r="600" spans="1:3" x14ac:dyDescent="0.35">
      <c r="A600" s="1">
        <v>553</v>
      </c>
      <c r="B600" s="1" t="s">
        <v>32</v>
      </c>
      <c r="C600" s="1">
        <v>19.734939759036145</v>
      </c>
    </row>
    <row r="601" spans="1:3" x14ac:dyDescent="0.35">
      <c r="A601" s="1">
        <v>554</v>
      </c>
      <c r="B601" s="57" t="s">
        <v>31</v>
      </c>
      <c r="C601" s="57">
        <v>19.707865168539325</v>
      </c>
    </row>
    <row r="602" spans="1:3" x14ac:dyDescent="0.35">
      <c r="A602" s="1">
        <v>555</v>
      </c>
      <c r="B602" s="57" t="s">
        <v>30</v>
      </c>
      <c r="C602" s="57">
        <v>19.446153846153845</v>
      </c>
    </row>
    <row r="603" spans="1:3" x14ac:dyDescent="0.35">
      <c r="A603" s="1">
        <v>556</v>
      </c>
      <c r="B603" s="57" t="s">
        <v>31</v>
      </c>
      <c r="C603" s="57">
        <v>19.274725274725274</v>
      </c>
    </row>
    <row r="604" spans="1:3" x14ac:dyDescent="0.35">
      <c r="A604" s="1">
        <v>557</v>
      </c>
      <c r="B604" s="1" t="s">
        <v>32</v>
      </c>
      <c r="C604" s="1">
        <v>19.270588235294117</v>
      </c>
    </row>
    <row r="605" spans="1:3" x14ac:dyDescent="0.35">
      <c r="A605" s="1">
        <v>558</v>
      </c>
      <c r="B605" s="57" t="s">
        <v>30</v>
      </c>
      <c r="C605" s="57">
        <v>18.865671641791046</v>
      </c>
    </row>
    <row r="606" spans="1:3" x14ac:dyDescent="0.35">
      <c r="A606" s="1">
        <v>559</v>
      </c>
      <c r="B606" s="57" t="s">
        <v>31</v>
      </c>
      <c r="C606" s="57">
        <v>18.86021505376344</v>
      </c>
    </row>
    <row r="607" spans="1:3" x14ac:dyDescent="0.35">
      <c r="A607" s="1">
        <v>560</v>
      </c>
      <c r="B607" s="1" t="s">
        <v>32</v>
      </c>
      <c r="C607" s="1">
        <v>18.827586206896552</v>
      </c>
    </row>
    <row r="608" spans="1:3" x14ac:dyDescent="0.35">
      <c r="A608" s="1">
        <v>561</v>
      </c>
      <c r="B608" s="57" t="s">
        <v>31</v>
      </c>
      <c r="C608" s="57">
        <v>18.463157894736842</v>
      </c>
    </row>
    <row r="609" spans="1:3" x14ac:dyDescent="0.35">
      <c r="A609" s="1">
        <v>562</v>
      </c>
      <c r="B609" s="1" t="s">
        <v>32</v>
      </c>
      <c r="C609" s="1">
        <v>18.40449438202247</v>
      </c>
    </row>
    <row r="610" spans="1:3" x14ac:dyDescent="0.35">
      <c r="A610" s="1">
        <v>563</v>
      </c>
      <c r="B610" s="57" t="s">
        <v>30</v>
      </c>
      <c r="C610" s="57">
        <v>18.318840579710145</v>
      </c>
    </row>
    <row r="611" spans="1:3" x14ac:dyDescent="0.35">
      <c r="A611" s="1">
        <v>564</v>
      </c>
      <c r="B611" s="57" t="s">
        <v>31</v>
      </c>
      <c r="C611" s="57">
        <v>18.082474226804123</v>
      </c>
    </row>
    <row r="612" spans="1:3" x14ac:dyDescent="0.35">
      <c r="A612" s="1">
        <v>565</v>
      </c>
      <c r="B612" s="1" t="s">
        <v>32</v>
      </c>
      <c r="C612" s="1">
        <v>18</v>
      </c>
    </row>
    <row r="613" spans="1:3" x14ac:dyDescent="0.35">
      <c r="A613" s="1">
        <v>566</v>
      </c>
      <c r="B613" s="57" t="s">
        <v>30</v>
      </c>
      <c r="C613" s="57">
        <v>17.802816901408452</v>
      </c>
    </row>
    <row r="614" spans="1:3" x14ac:dyDescent="0.35">
      <c r="A614" s="1">
        <v>567</v>
      </c>
      <c r="B614" s="57" t="s">
        <v>31</v>
      </c>
      <c r="C614" s="57">
        <v>17.717171717171716</v>
      </c>
    </row>
    <row r="615" spans="1:3" x14ac:dyDescent="0.35">
      <c r="A615" s="1">
        <v>568</v>
      </c>
      <c r="B615" s="1" t="s">
        <v>32</v>
      </c>
      <c r="C615" s="1">
        <v>17.612903225806452</v>
      </c>
    </row>
    <row r="616" spans="1:3" x14ac:dyDescent="0.35">
      <c r="A616" s="1">
        <v>569</v>
      </c>
      <c r="B616" s="57" t="s">
        <v>31</v>
      </c>
      <c r="C616" s="57">
        <v>17.366336633663366</v>
      </c>
    </row>
    <row r="617" spans="1:3" x14ac:dyDescent="0.35">
      <c r="A617" s="1">
        <v>570</v>
      </c>
      <c r="B617" s="57" t="s">
        <v>30</v>
      </c>
      <c r="C617" s="57">
        <v>17.315068493150687</v>
      </c>
    </row>
    <row r="618" spans="1:3" x14ac:dyDescent="0.35">
      <c r="A618" s="1">
        <v>571</v>
      </c>
      <c r="B618" s="1" t="s">
        <v>32</v>
      </c>
      <c r="C618" s="1">
        <v>17.242105263157896</v>
      </c>
    </row>
    <row r="619" spans="1:3" x14ac:dyDescent="0.35">
      <c r="A619" s="1">
        <v>572</v>
      </c>
      <c r="B619" s="57" t="s">
        <v>31</v>
      </c>
      <c r="C619" s="57">
        <v>17.029126213592232</v>
      </c>
    </row>
    <row r="620" spans="1:3" x14ac:dyDescent="0.35">
      <c r="A620" s="1">
        <v>573</v>
      </c>
      <c r="B620" s="1" t="s">
        <v>32</v>
      </c>
      <c r="C620" s="1">
        <v>16.88659793814433</v>
      </c>
    </row>
    <row r="621" spans="1:3" x14ac:dyDescent="0.35">
      <c r="A621" s="1">
        <v>574</v>
      </c>
      <c r="B621" s="57" t="s">
        <v>30</v>
      </c>
      <c r="C621" s="57">
        <v>16.853333333333332</v>
      </c>
    </row>
    <row r="622" spans="1:3" x14ac:dyDescent="0.35">
      <c r="A622" s="1">
        <v>575</v>
      </c>
      <c r="B622" s="57" t="s">
        <v>31</v>
      </c>
      <c r="C622" s="57">
        <v>16.704761904761906</v>
      </c>
    </row>
    <row r="623" spans="1:3" x14ac:dyDescent="0.35">
      <c r="A623" s="1">
        <v>576</v>
      </c>
      <c r="B623" s="1" t="s">
        <v>32</v>
      </c>
      <c r="C623" s="1">
        <v>16.545454545454547</v>
      </c>
    </row>
    <row r="624" spans="1:3" x14ac:dyDescent="0.35">
      <c r="A624" s="1">
        <v>577</v>
      </c>
      <c r="B624" s="57" t="s">
        <v>30</v>
      </c>
      <c r="C624" s="57">
        <v>16.415584415584416</v>
      </c>
    </row>
    <row r="625" spans="1:3" x14ac:dyDescent="0.35">
      <c r="A625" s="1">
        <v>578</v>
      </c>
      <c r="B625" s="57" t="s">
        <v>31</v>
      </c>
      <c r="C625" s="57">
        <v>16.392523364485982</v>
      </c>
    </row>
    <row r="626" spans="1:3" x14ac:dyDescent="0.35">
      <c r="A626" s="1">
        <v>579</v>
      </c>
      <c r="B626" s="1" t="s">
        <v>32</v>
      </c>
      <c r="C626" s="1">
        <v>16.217821782178216</v>
      </c>
    </row>
    <row r="627" spans="1:3" x14ac:dyDescent="0.35">
      <c r="A627" s="1">
        <v>580</v>
      </c>
      <c r="B627" s="57" t="s">
        <v>31</v>
      </c>
      <c r="C627" s="57">
        <v>16.091743119266056</v>
      </c>
    </row>
    <row r="628" spans="1:3" x14ac:dyDescent="0.35">
      <c r="A628" s="1">
        <v>581</v>
      </c>
      <c r="B628" s="57" t="s">
        <v>30</v>
      </c>
      <c r="C628" s="57">
        <v>16</v>
      </c>
    </row>
    <row r="629" spans="1:3" x14ac:dyDescent="0.35">
      <c r="A629" s="1">
        <v>582</v>
      </c>
      <c r="B629" s="1" t="s">
        <v>32</v>
      </c>
      <c r="C629" s="1">
        <v>15.902912621359222</v>
      </c>
    </row>
    <row r="630" spans="1:3" x14ac:dyDescent="0.35">
      <c r="A630" s="1">
        <v>583</v>
      </c>
      <c r="B630" s="57" t="s">
        <v>31</v>
      </c>
      <c r="C630" s="57">
        <v>15.801801801801801</v>
      </c>
    </row>
    <row r="631" spans="1:3" x14ac:dyDescent="0.35">
      <c r="A631" s="1">
        <v>584</v>
      </c>
      <c r="B631" s="57" t="s">
        <v>30</v>
      </c>
      <c r="C631" s="57">
        <v>15.604938271604938</v>
      </c>
    </row>
    <row r="632" spans="1:3" x14ac:dyDescent="0.35">
      <c r="A632" s="1">
        <v>585</v>
      </c>
      <c r="B632" s="1" t="s">
        <v>32</v>
      </c>
      <c r="C632" s="1">
        <v>15.6</v>
      </c>
    </row>
    <row r="633" spans="1:3" x14ac:dyDescent="0.35">
      <c r="A633" s="1">
        <v>586</v>
      </c>
      <c r="B633" s="57" t="s">
        <v>31</v>
      </c>
      <c r="C633" s="57">
        <v>15.522123893805309</v>
      </c>
    </row>
    <row r="634" spans="1:3" x14ac:dyDescent="0.35">
      <c r="A634" s="1">
        <v>587</v>
      </c>
      <c r="B634" s="1" t="s">
        <v>32</v>
      </c>
      <c r="C634" s="1">
        <v>15.308411214953271</v>
      </c>
    </row>
    <row r="635" spans="1:3" x14ac:dyDescent="0.35">
      <c r="A635" s="1">
        <v>588</v>
      </c>
      <c r="B635" s="57" t="s">
        <v>31</v>
      </c>
      <c r="C635" s="57">
        <v>15.252173913043478</v>
      </c>
    </row>
    <row r="636" spans="1:3" x14ac:dyDescent="0.35">
      <c r="A636" s="1">
        <v>589</v>
      </c>
      <c r="B636" s="57" t="s">
        <v>30</v>
      </c>
      <c r="C636" s="57">
        <v>15.228915662650602</v>
      </c>
    </row>
    <row r="637" spans="1:3" x14ac:dyDescent="0.35">
      <c r="A637" s="1">
        <v>590</v>
      </c>
      <c r="B637" s="1" t="s">
        <v>32</v>
      </c>
      <c r="C637" s="1">
        <v>15.027522935779816</v>
      </c>
    </row>
    <row r="638" spans="1:3" x14ac:dyDescent="0.35">
      <c r="A638" s="1">
        <v>591</v>
      </c>
      <c r="B638" s="57" t="s">
        <v>31</v>
      </c>
      <c r="C638" s="57">
        <v>14.991452991452991</v>
      </c>
    </row>
    <row r="639" spans="1:3" x14ac:dyDescent="0.35">
      <c r="A639" s="1">
        <v>592</v>
      </c>
      <c r="B639" s="57" t="s">
        <v>30</v>
      </c>
      <c r="C639" s="57">
        <v>14.870588235294118</v>
      </c>
    </row>
    <row r="640" spans="1:3" x14ac:dyDescent="0.35">
      <c r="A640" s="1">
        <v>593</v>
      </c>
      <c r="B640" s="1" t="s">
        <v>32</v>
      </c>
      <c r="C640" s="1">
        <v>14.756756756756756</v>
      </c>
    </row>
    <row r="641" spans="1:3" x14ac:dyDescent="0.35">
      <c r="A641" s="1">
        <v>594</v>
      </c>
      <c r="B641" s="57" t="s">
        <v>31</v>
      </c>
      <c r="C641" s="57">
        <v>14.739495798319327</v>
      </c>
    </row>
    <row r="642" spans="1:3" x14ac:dyDescent="0.35">
      <c r="A642" s="1">
        <v>595</v>
      </c>
      <c r="B642" s="57" t="s">
        <v>30</v>
      </c>
      <c r="C642" s="57">
        <v>14.528735632183908</v>
      </c>
    </row>
    <row r="643" spans="1:3" x14ac:dyDescent="0.35">
      <c r="A643" s="1">
        <v>596</v>
      </c>
      <c r="B643" s="57" t="s">
        <v>31</v>
      </c>
      <c r="C643" s="57">
        <v>14.495867768595041</v>
      </c>
    </row>
    <row r="644" spans="1:3" x14ac:dyDescent="0.35">
      <c r="A644" s="1">
        <v>597</v>
      </c>
      <c r="B644" s="1" t="s">
        <v>32</v>
      </c>
      <c r="C644" s="1">
        <v>14.495575221238939</v>
      </c>
    </row>
    <row r="645" spans="1:3" x14ac:dyDescent="0.35">
      <c r="A645" s="1">
        <v>598</v>
      </c>
      <c r="B645" s="57" t="s">
        <v>31</v>
      </c>
      <c r="C645" s="57">
        <v>14.260162601626016</v>
      </c>
    </row>
    <row r="646" spans="1:3" x14ac:dyDescent="0.35">
      <c r="A646" s="1">
        <v>599</v>
      </c>
      <c r="B646" s="1" t="s">
        <v>32</v>
      </c>
      <c r="C646" s="1">
        <v>14.243478260869566</v>
      </c>
    </row>
    <row r="647" spans="1:3" x14ac:dyDescent="0.35">
      <c r="A647" s="1">
        <v>600</v>
      </c>
      <c r="B647" s="57" t="s">
        <v>30</v>
      </c>
      <c r="C647" s="57">
        <v>14.202247191011235</v>
      </c>
    </row>
    <row r="648" spans="1:3" x14ac:dyDescent="0.35">
      <c r="A648" s="1">
        <v>601</v>
      </c>
      <c r="B648" s="57" t="s">
        <v>31</v>
      </c>
      <c r="C648" s="57">
        <v>14.032</v>
      </c>
    </row>
    <row r="649" spans="1:3" x14ac:dyDescent="0.35">
      <c r="A649" s="1">
        <v>602</v>
      </c>
      <c r="B649" s="1" t="s">
        <v>32</v>
      </c>
      <c r="C649" s="1">
        <v>14</v>
      </c>
    </row>
    <row r="650" spans="1:3" x14ac:dyDescent="0.35">
      <c r="A650" s="1">
        <v>603</v>
      </c>
      <c r="B650" s="57" t="s">
        <v>30</v>
      </c>
      <c r="C650" s="57">
        <v>13.890109890109891</v>
      </c>
    </row>
    <row r="651" spans="1:3" x14ac:dyDescent="0.35">
      <c r="A651" s="1">
        <v>604</v>
      </c>
      <c r="B651" s="57" t="s">
        <v>31</v>
      </c>
      <c r="C651" s="57">
        <v>13.811023622047244</v>
      </c>
    </row>
    <row r="652" spans="1:3" x14ac:dyDescent="0.35">
      <c r="A652" s="1">
        <v>605</v>
      </c>
      <c r="B652" s="1" t="s">
        <v>32</v>
      </c>
      <c r="C652" s="1">
        <v>13.764705882352942</v>
      </c>
    </row>
    <row r="653" spans="1:3" x14ac:dyDescent="0.35">
      <c r="A653" s="1">
        <v>606</v>
      </c>
      <c r="B653" s="57" t="s">
        <v>31</v>
      </c>
      <c r="C653" s="57">
        <v>13.596899224806201</v>
      </c>
    </row>
    <row r="654" spans="1:3" x14ac:dyDescent="0.35">
      <c r="A654" s="1">
        <v>607</v>
      </c>
      <c r="B654" s="57" t="s">
        <v>30</v>
      </c>
      <c r="C654" s="57">
        <v>13.591397849462366</v>
      </c>
    </row>
    <row r="655" spans="1:3" x14ac:dyDescent="0.35">
      <c r="A655" s="1">
        <v>608</v>
      </c>
      <c r="B655" s="1" t="s">
        <v>32</v>
      </c>
      <c r="C655" s="1">
        <v>13.537190082644628</v>
      </c>
    </row>
    <row r="656" spans="1:3" x14ac:dyDescent="0.35">
      <c r="A656" s="1">
        <v>609</v>
      </c>
      <c r="B656" s="57" t="s">
        <v>31</v>
      </c>
      <c r="C656" s="57">
        <v>13.389312977099237</v>
      </c>
    </row>
    <row r="657" spans="1:3" x14ac:dyDescent="0.35">
      <c r="A657" s="1">
        <v>610</v>
      </c>
      <c r="B657" s="1" t="s">
        <v>32</v>
      </c>
      <c r="C657" s="1">
        <v>13.317073170731707</v>
      </c>
    </row>
    <row r="658" spans="1:3" x14ac:dyDescent="0.35">
      <c r="A658" s="1">
        <v>611</v>
      </c>
      <c r="B658" s="57" t="s">
        <v>30</v>
      </c>
      <c r="C658" s="57">
        <v>13.305263157894737</v>
      </c>
    </row>
    <row r="659" spans="1:3" x14ac:dyDescent="0.35">
      <c r="A659" s="1">
        <v>612</v>
      </c>
      <c r="B659" s="57" t="s">
        <v>31</v>
      </c>
      <c r="C659" s="57">
        <v>13.18796992481203</v>
      </c>
    </row>
    <row r="660" spans="1:3" x14ac:dyDescent="0.35">
      <c r="A660" s="1">
        <v>613</v>
      </c>
      <c r="B660" s="1" t="s">
        <v>32</v>
      </c>
      <c r="C660" s="1">
        <v>13.103999999999999</v>
      </c>
    </row>
    <row r="661" spans="1:3" x14ac:dyDescent="0.35">
      <c r="A661" s="1">
        <v>614</v>
      </c>
      <c r="B661" s="57" t="s">
        <v>30</v>
      </c>
      <c r="C661" s="57">
        <v>13.030927835051546</v>
      </c>
    </row>
    <row r="662" spans="1:3" x14ac:dyDescent="0.35">
      <c r="A662" s="1">
        <v>615</v>
      </c>
      <c r="B662" s="57" t="s">
        <v>31</v>
      </c>
      <c r="C662" s="57">
        <v>12.992592592592592</v>
      </c>
    </row>
    <row r="663" spans="1:3" x14ac:dyDescent="0.35">
      <c r="A663" s="1">
        <v>616</v>
      </c>
      <c r="B663" s="1" t="s">
        <v>32</v>
      </c>
      <c r="C663" s="1">
        <v>12.897637795275591</v>
      </c>
    </row>
    <row r="664" spans="1:3" x14ac:dyDescent="0.35">
      <c r="A664" s="1">
        <v>617</v>
      </c>
      <c r="B664" s="57" t="s">
        <v>31</v>
      </c>
      <c r="C664" s="57">
        <v>12.802919708029197</v>
      </c>
    </row>
    <row r="665" spans="1:3" x14ac:dyDescent="0.35">
      <c r="A665" s="1">
        <v>618</v>
      </c>
      <c r="B665" s="57" t="s">
        <v>30</v>
      </c>
      <c r="C665" s="57">
        <v>12.767676767676768</v>
      </c>
    </row>
    <row r="666" spans="1:3" x14ac:dyDescent="0.35">
      <c r="A666" s="1">
        <v>619</v>
      </c>
      <c r="B666" s="1" t="s">
        <v>32</v>
      </c>
      <c r="C666" s="1">
        <v>12.697674418604651</v>
      </c>
    </row>
    <row r="667" spans="1:3" x14ac:dyDescent="0.35">
      <c r="A667" s="1">
        <v>620</v>
      </c>
      <c r="B667" s="57" t="s">
        <v>31</v>
      </c>
      <c r="C667" s="57">
        <v>12.618705035971223</v>
      </c>
    </row>
    <row r="668" spans="1:3" x14ac:dyDescent="0.35">
      <c r="A668" s="1">
        <v>621</v>
      </c>
      <c r="B668" s="57" t="s">
        <v>30</v>
      </c>
      <c r="C668" s="57">
        <v>12.514851485148515</v>
      </c>
    </row>
    <row r="669" spans="1:3" x14ac:dyDescent="0.35">
      <c r="A669" s="1">
        <v>622</v>
      </c>
      <c r="B669" s="1" t="s">
        <v>32</v>
      </c>
      <c r="C669" s="1">
        <v>12.503816793893129</v>
      </c>
    </row>
    <row r="670" spans="1:3" x14ac:dyDescent="0.35">
      <c r="A670" s="1">
        <v>623</v>
      </c>
      <c r="B670" s="57" t="s">
        <v>31</v>
      </c>
      <c r="C670" s="57">
        <v>12.439716312056738</v>
      </c>
    </row>
    <row r="671" spans="1:3" x14ac:dyDescent="0.35">
      <c r="A671" s="1">
        <v>624</v>
      </c>
      <c r="B671" s="1" t="s">
        <v>32</v>
      </c>
      <c r="C671" s="1">
        <v>12.315789473684211</v>
      </c>
    </row>
    <row r="672" spans="1:3" x14ac:dyDescent="0.35">
      <c r="A672" s="1">
        <v>625</v>
      </c>
      <c r="B672" s="57" t="s">
        <v>30</v>
      </c>
      <c r="C672" s="57">
        <v>12.271844660194175</v>
      </c>
    </row>
    <row r="673" spans="1:3" x14ac:dyDescent="0.35">
      <c r="A673" s="1">
        <v>626</v>
      </c>
      <c r="B673" s="57" t="s">
        <v>31</v>
      </c>
      <c r="C673" s="57">
        <v>12.265734265734265</v>
      </c>
    </row>
    <row r="674" spans="1:3" x14ac:dyDescent="0.35">
      <c r="A674" s="1">
        <v>627</v>
      </c>
      <c r="B674" s="1" t="s">
        <v>32</v>
      </c>
      <c r="C674" s="1">
        <v>12.133333333333333</v>
      </c>
    </row>
    <row r="675" spans="1:3" x14ac:dyDescent="0.35">
      <c r="A675" s="1">
        <v>628</v>
      </c>
      <c r="B675" s="57" t="s">
        <v>31</v>
      </c>
      <c r="C675" s="57">
        <v>12.096551724137932</v>
      </c>
    </row>
    <row r="676" spans="1:3" x14ac:dyDescent="0.35">
      <c r="A676" s="1">
        <v>629</v>
      </c>
      <c r="B676" s="57" t="s">
        <v>30</v>
      </c>
      <c r="C676" s="57">
        <v>12.038095238095238</v>
      </c>
    </row>
    <row r="677" spans="1:3" x14ac:dyDescent="0.35">
      <c r="A677" s="1">
        <v>630</v>
      </c>
      <c r="B677" s="1" t="s">
        <v>32</v>
      </c>
      <c r="C677" s="1">
        <v>11.956204379562044</v>
      </c>
    </row>
    <row r="678" spans="1:3" x14ac:dyDescent="0.35">
      <c r="A678" s="1">
        <v>631</v>
      </c>
      <c r="B678" s="57" t="s">
        <v>31</v>
      </c>
      <c r="C678" s="57">
        <v>11.931972789115646</v>
      </c>
    </row>
    <row r="679" spans="1:3" x14ac:dyDescent="0.35">
      <c r="A679" s="1">
        <v>632</v>
      </c>
      <c r="B679" s="57" t="s">
        <v>30</v>
      </c>
      <c r="C679" s="57">
        <v>11.813084112149532</v>
      </c>
    </row>
    <row r="680" spans="1:3" x14ac:dyDescent="0.35">
      <c r="A680" s="1">
        <v>633</v>
      </c>
      <c r="B680" s="1" t="s">
        <v>32</v>
      </c>
      <c r="C680" s="1">
        <v>11.784172661870503</v>
      </c>
    </row>
    <row r="681" spans="1:3" x14ac:dyDescent="0.35">
      <c r="A681" s="1">
        <v>634</v>
      </c>
      <c r="B681" s="57" t="s">
        <v>31</v>
      </c>
      <c r="C681" s="57">
        <v>11.771812080536913</v>
      </c>
    </row>
    <row r="682" spans="1:3" x14ac:dyDescent="0.35">
      <c r="A682" s="1">
        <v>635</v>
      </c>
      <c r="B682" s="1" t="s">
        <v>32</v>
      </c>
      <c r="C682" s="1">
        <v>11.617021276595745</v>
      </c>
    </row>
    <row r="683" spans="1:3" x14ac:dyDescent="0.35">
      <c r="A683" s="1">
        <v>636</v>
      </c>
      <c r="B683" s="57" t="s">
        <v>31</v>
      </c>
      <c r="C683" s="57">
        <v>11.6158940397351</v>
      </c>
    </row>
    <row r="684" spans="1:3" x14ac:dyDescent="0.35">
      <c r="A684" s="1">
        <v>637</v>
      </c>
      <c r="B684" s="57" t="s">
        <v>30</v>
      </c>
      <c r="C684" s="57">
        <v>11.596330275229358</v>
      </c>
    </row>
    <row r="685" spans="1:3" x14ac:dyDescent="0.35">
      <c r="A685" s="1">
        <v>638</v>
      </c>
      <c r="B685" s="57" t="s">
        <v>31</v>
      </c>
      <c r="C685" s="57">
        <v>11.464052287581699</v>
      </c>
    </row>
    <row r="686" spans="1:3" x14ac:dyDescent="0.35">
      <c r="A686" s="1">
        <v>639</v>
      </c>
      <c r="B686" s="1" t="s">
        <v>32</v>
      </c>
      <c r="C686" s="1">
        <v>11.454545454545455</v>
      </c>
    </row>
    <row r="687" spans="1:3" x14ac:dyDescent="0.35">
      <c r="A687" s="1">
        <v>640</v>
      </c>
      <c r="B687" s="57" t="s">
        <v>30</v>
      </c>
      <c r="C687" s="57">
        <v>11.387387387387387</v>
      </c>
    </row>
    <row r="688" spans="1:3" x14ac:dyDescent="0.35">
      <c r="A688" s="1">
        <v>641</v>
      </c>
      <c r="B688" s="57" t="s">
        <v>31</v>
      </c>
      <c r="C688" s="57">
        <v>11.316129032258065</v>
      </c>
    </row>
    <row r="689" spans="1:3" x14ac:dyDescent="0.35">
      <c r="A689" s="1">
        <v>642</v>
      </c>
      <c r="B689" s="1" t="s">
        <v>32</v>
      </c>
      <c r="C689" s="1">
        <v>11.296551724137931</v>
      </c>
    </row>
    <row r="690" spans="1:3" x14ac:dyDescent="0.35">
      <c r="A690" s="1">
        <v>643</v>
      </c>
      <c r="B690" s="57" t="s">
        <v>30</v>
      </c>
      <c r="C690" s="57">
        <v>11.185840707964601</v>
      </c>
    </row>
    <row r="691" spans="1:3" x14ac:dyDescent="0.35">
      <c r="A691" s="1">
        <v>644</v>
      </c>
      <c r="B691" s="57" t="s">
        <v>31</v>
      </c>
      <c r="C691" s="57">
        <v>11.171974522292993</v>
      </c>
    </row>
    <row r="692" spans="1:3" x14ac:dyDescent="0.35">
      <c r="A692" s="1">
        <v>645</v>
      </c>
      <c r="B692" s="1" t="s">
        <v>32</v>
      </c>
      <c r="C692" s="1">
        <v>11.142857142857142</v>
      </c>
    </row>
    <row r="693" spans="1:3" x14ac:dyDescent="0.35">
      <c r="A693" s="1">
        <v>646</v>
      </c>
      <c r="B693" s="57" t="s">
        <v>31</v>
      </c>
      <c r="C693" s="57">
        <v>11.031446540880504</v>
      </c>
    </row>
    <row r="694" spans="1:3" x14ac:dyDescent="0.35">
      <c r="A694" s="1">
        <v>647</v>
      </c>
      <c r="B694" s="1" t="s">
        <v>32</v>
      </c>
      <c r="C694" s="1">
        <v>10.993288590604028</v>
      </c>
    </row>
    <row r="695" spans="1:3" x14ac:dyDescent="0.35">
      <c r="A695" s="1">
        <v>648</v>
      </c>
      <c r="B695" s="57" t="s">
        <v>30</v>
      </c>
      <c r="C695" s="57">
        <v>10.991304347826087</v>
      </c>
    </row>
    <row r="696" spans="1:3" x14ac:dyDescent="0.35">
      <c r="A696" s="1">
        <v>649</v>
      </c>
      <c r="B696" s="57" t="s">
        <v>31</v>
      </c>
      <c r="C696" s="57">
        <v>10.894409937888199</v>
      </c>
    </row>
    <row r="697" spans="1:3" x14ac:dyDescent="0.35">
      <c r="A697" s="1">
        <v>650</v>
      </c>
      <c r="B697" s="1" t="s">
        <v>32</v>
      </c>
      <c r="C697" s="1">
        <v>10.847682119205299</v>
      </c>
    </row>
    <row r="698" spans="1:3" x14ac:dyDescent="0.35">
      <c r="A698" s="1">
        <v>651</v>
      </c>
      <c r="B698" s="57" t="s">
        <v>30</v>
      </c>
      <c r="C698" s="57">
        <v>10.803418803418804</v>
      </c>
    </row>
    <row r="699" spans="1:3" x14ac:dyDescent="0.35">
      <c r="A699" s="1">
        <v>652</v>
      </c>
      <c r="B699" s="57" t="s">
        <v>31</v>
      </c>
      <c r="C699" s="57">
        <v>10.760736196319018</v>
      </c>
    </row>
    <row r="700" spans="1:3" x14ac:dyDescent="0.35">
      <c r="A700" s="1">
        <v>653</v>
      </c>
      <c r="B700" s="1" t="s">
        <v>32</v>
      </c>
      <c r="C700" s="1">
        <v>10.705882352941176</v>
      </c>
    </row>
    <row r="701" spans="1:3" x14ac:dyDescent="0.35">
      <c r="A701" s="1">
        <v>654</v>
      </c>
      <c r="B701" s="57" t="s">
        <v>31</v>
      </c>
      <c r="C701" s="57">
        <v>10.630303030303031</v>
      </c>
    </row>
    <row r="702" spans="1:3" x14ac:dyDescent="0.35">
      <c r="A702" s="1">
        <v>655</v>
      </c>
      <c r="B702" s="57" t="s">
        <v>30</v>
      </c>
      <c r="C702" s="57">
        <v>10.621848739495798</v>
      </c>
    </row>
    <row r="703" spans="1:3" x14ac:dyDescent="0.35">
      <c r="A703" s="1">
        <v>656</v>
      </c>
      <c r="B703" s="1" t="s">
        <v>32</v>
      </c>
      <c r="C703" s="1">
        <v>10.567741935483872</v>
      </c>
    </row>
    <row r="704" spans="1:3" x14ac:dyDescent="0.35">
      <c r="A704" s="1">
        <v>657</v>
      </c>
      <c r="B704" s="57" t="s">
        <v>31</v>
      </c>
      <c r="C704" s="57">
        <v>10.502994011976048</v>
      </c>
    </row>
    <row r="705" spans="1:3" x14ac:dyDescent="0.35">
      <c r="A705" s="1">
        <v>658</v>
      </c>
      <c r="B705" s="57" t="s">
        <v>30</v>
      </c>
      <c r="C705" s="57">
        <v>10.446280991735538</v>
      </c>
    </row>
    <row r="706" spans="1:3" x14ac:dyDescent="0.35">
      <c r="A706" s="1">
        <v>659</v>
      </c>
      <c r="B706" s="1" t="s">
        <v>32</v>
      </c>
      <c r="C706" s="1">
        <v>10.433121019108281</v>
      </c>
    </row>
    <row r="707" spans="1:3" x14ac:dyDescent="0.35">
      <c r="A707" s="1">
        <v>660</v>
      </c>
      <c r="B707" s="57" t="s">
        <v>31</v>
      </c>
      <c r="C707" s="57">
        <v>10.378698224852071</v>
      </c>
    </row>
    <row r="708" spans="1:3" x14ac:dyDescent="0.35">
      <c r="A708" s="1">
        <v>661</v>
      </c>
      <c r="B708" s="1" t="s">
        <v>32</v>
      </c>
      <c r="C708" s="1">
        <v>10.30188679245283</v>
      </c>
    </row>
    <row r="709" spans="1:3" x14ac:dyDescent="0.35">
      <c r="A709" s="1">
        <v>662</v>
      </c>
      <c r="B709" s="57" t="s">
        <v>30</v>
      </c>
      <c r="C709" s="57">
        <v>10.276422764227643</v>
      </c>
    </row>
    <row r="710" spans="1:3" x14ac:dyDescent="0.35">
      <c r="A710" s="1">
        <v>663</v>
      </c>
      <c r="B710" s="57" t="s">
        <v>31</v>
      </c>
      <c r="C710" s="57">
        <v>10.257309941520468</v>
      </c>
    </row>
    <row r="711" spans="1:3" x14ac:dyDescent="0.35">
      <c r="A711" s="1">
        <v>664</v>
      </c>
      <c r="B711" s="1" t="s">
        <v>32</v>
      </c>
      <c r="C711" s="1">
        <v>10.173913043478262</v>
      </c>
    </row>
    <row r="712" spans="1:3" x14ac:dyDescent="0.35">
      <c r="A712" s="1">
        <v>665</v>
      </c>
      <c r="B712" s="57" t="s">
        <v>31</v>
      </c>
      <c r="C712" s="57">
        <v>10.138728323699421</v>
      </c>
    </row>
    <row r="713" spans="1:3" x14ac:dyDescent="0.35">
      <c r="A713" s="1">
        <v>666</v>
      </c>
      <c r="B713" s="57" t="s">
        <v>30</v>
      </c>
      <c r="C713" s="57">
        <v>10.112</v>
      </c>
    </row>
    <row r="714" spans="1:3" x14ac:dyDescent="0.35">
      <c r="A714" s="1">
        <v>667</v>
      </c>
      <c r="B714" s="1" t="s">
        <v>32</v>
      </c>
      <c r="C714" s="1">
        <v>10.049079754601227</v>
      </c>
    </row>
    <row r="715" spans="1:3" x14ac:dyDescent="0.35">
      <c r="A715" s="1">
        <v>668</v>
      </c>
      <c r="B715" s="57" t="s">
        <v>30</v>
      </c>
      <c r="C715" s="57">
        <v>9.9527559055118111</v>
      </c>
    </row>
    <row r="716" spans="1:3" x14ac:dyDescent="0.35">
      <c r="A716" s="1">
        <v>669</v>
      </c>
      <c r="B716" s="1" t="s">
        <v>32</v>
      </c>
      <c r="C716" s="1">
        <v>9.9272727272727277</v>
      </c>
    </row>
    <row r="717" spans="1:3" x14ac:dyDescent="0.35">
      <c r="A717" s="1">
        <v>670</v>
      </c>
      <c r="B717" s="1" t="s">
        <v>32</v>
      </c>
      <c r="C717" s="1">
        <v>9.8083832335329344</v>
      </c>
    </row>
    <row r="718" spans="1:3" x14ac:dyDescent="0.35">
      <c r="A718" s="1">
        <v>671</v>
      </c>
      <c r="B718" s="57" t="s">
        <v>30</v>
      </c>
      <c r="C718" s="57">
        <v>9.7984496124031004</v>
      </c>
    </row>
    <row r="719" spans="1:3" x14ac:dyDescent="0.35">
      <c r="A719" s="1">
        <v>672</v>
      </c>
      <c r="B719" s="1" t="s">
        <v>32</v>
      </c>
      <c r="C719" s="1">
        <v>9.6923076923076916</v>
      </c>
    </row>
    <row r="720" spans="1:3" x14ac:dyDescent="0.35">
      <c r="A720" s="1">
        <v>673</v>
      </c>
      <c r="B720" s="57" t="s">
        <v>30</v>
      </c>
      <c r="C720" s="57">
        <v>9.6488549618320612</v>
      </c>
    </row>
    <row r="721" spans="1:3" x14ac:dyDescent="0.35">
      <c r="A721" s="1">
        <v>674</v>
      </c>
      <c r="B721" s="1" t="s">
        <v>32</v>
      </c>
      <c r="C721" s="1">
        <v>9.5789473684210531</v>
      </c>
    </row>
    <row r="722" spans="1:3" x14ac:dyDescent="0.35">
      <c r="A722" s="1">
        <v>675</v>
      </c>
      <c r="B722" s="57" t="s">
        <v>30</v>
      </c>
      <c r="C722" s="57">
        <v>9.503759398496241</v>
      </c>
    </row>
    <row r="723" spans="1:3" x14ac:dyDescent="0.35">
      <c r="A723" s="1">
        <v>676</v>
      </c>
      <c r="B723" s="1" t="s">
        <v>32</v>
      </c>
      <c r="C723" s="1">
        <v>9.4682080924855487</v>
      </c>
    </row>
    <row r="724" spans="1:3" x14ac:dyDescent="0.35">
      <c r="A724" s="1">
        <v>677</v>
      </c>
      <c r="B724" s="57" t="s">
        <v>30</v>
      </c>
      <c r="C724" s="57">
        <v>9.3629629629629623</v>
      </c>
    </row>
    <row r="725" spans="1:3" x14ac:dyDescent="0.35">
      <c r="A725" s="1">
        <v>678</v>
      </c>
      <c r="B725" s="57" t="s">
        <v>30</v>
      </c>
      <c r="C725" s="57">
        <v>9.2262773722627731</v>
      </c>
    </row>
    <row r="726" spans="1:3" x14ac:dyDescent="0.35">
      <c r="A726" s="1">
        <v>679</v>
      </c>
      <c r="B726" s="57" t="s">
        <v>30</v>
      </c>
      <c r="C726" s="57">
        <v>9.0935251798561154</v>
      </c>
    </row>
    <row r="727" spans="1:3" x14ac:dyDescent="0.35">
      <c r="A727" s="1">
        <v>680</v>
      </c>
      <c r="B727" s="57" t="s">
        <v>30</v>
      </c>
      <c r="C727" s="57">
        <v>8.9645390070921991</v>
      </c>
    </row>
    <row r="728" spans="1:3" x14ac:dyDescent="0.35">
      <c r="A728" s="1">
        <v>681</v>
      </c>
      <c r="B728" s="57" t="s">
        <v>30</v>
      </c>
      <c r="C728" s="57">
        <v>8.8391608391608383</v>
      </c>
    </row>
    <row r="729" spans="1:3" x14ac:dyDescent="0.35">
      <c r="A729" s="1">
        <v>682</v>
      </c>
      <c r="B729" s="57" t="s">
        <v>30</v>
      </c>
      <c r="C729" s="57">
        <v>8.7172413793103445</v>
      </c>
    </row>
    <row r="730" spans="1:3" x14ac:dyDescent="0.35">
      <c r="A730" s="1">
        <v>683</v>
      </c>
      <c r="B730" s="57" t="s">
        <v>30</v>
      </c>
      <c r="C730" s="57">
        <v>8.5986394557823136</v>
      </c>
    </row>
    <row r="731" spans="1:3" x14ac:dyDescent="0.35">
      <c r="A731" s="1">
        <v>684</v>
      </c>
      <c r="B731" s="57" t="s">
        <v>30</v>
      </c>
      <c r="C731" s="57">
        <v>8.4832214765100673</v>
      </c>
    </row>
    <row r="732" spans="1:3" x14ac:dyDescent="0.35">
      <c r="A732" s="1">
        <v>685</v>
      </c>
      <c r="B732" s="57" t="s">
        <v>30</v>
      </c>
      <c r="C732" s="57">
        <v>8.370860927152318</v>
      </c>
    </row>
    <row r="733" spans="1:3" x14ac:dyDescent="0.35">
      <c r="A733" s="1">
        <v>686</v>
      </c>
      <c r="B733" s="57" t="s">
        <v>30</v>
      </c>
      <c r="C733" s="57">
        <v>8.2614379084967329</v>
      </c>
    </row>
    <row r="734" spans="1:3" x14ac:dyDescent="0.35">
      <c r="A734" s="1">
        <v>687</v>
      </c>
      <c r="B734" s="57" t="s">
        <v>30</v>
      </c>
      <c r="C734" s="57">
        <v>8.1548387096774189</v>
      </c>
    </row>
    <row r="735" spans="1:3" x14ac:dyDescent="0.35">
      <c r="A735" s="1">
        <v>688</v>
      </c>
      <c r="B735" s="57" t="s">
        <v>30</v>
      </c>
      <c r="C735" s="57">
        <v>8.0509554140127388</v>
      </c>
    </row>
    <row r="736" spans="1:3" x14ac:dyDescent="0.35">
      <c r="A736" s="1">
        <v>689</v>
      </c>
      <c r="B736" s="57" t="s">
        <v>30</v>
      </c>
      <c r="C736" s="57">
        <v>7.949685534591195</v>
      </c>
    </row>
    <row r="737" spans="1:3" x14ac:dyDescent="0.35">
      <c r="A737" s="1">
        <v>690</v>
      </c>
      <c r="B737" s="57" t="s">
        <v>30</v>
      </c>
      <c r="C737" s="57">
        <v>7.8509316770186333</v>
      </c>
    </row>
    <row r="738" spans="1:3" x14ac:dyDescent="0.35">
      <c r="A738" s="1">
        <v>691</v>
      </c>
      <c r="B738" s="57" t="s">
        <v>30</v>
      </c>
      <c r="C738" s="57">
        <v>7.7546012269938647</v>
      </c>
    </row>
    <row r="739" spans="1:3" x14ac:dyDescent="0.35">
      <c r="A739" s="1">
        <v>692</v>
      </c>
      <c r="B739" s="57" t="s">
        <v>30</v>
      </c>
      <c r="C739" s="57">
        <v>7.6606060606060602</v>
      </c>
    </row>
    <row r="740" spans="1:3" x14ac:dyDescent="0.35">
      <c r="A740" s="1">
        <v>693</v>
      </c>
      <c r="B740" s="57" t="s">
        <v>30</v>
      </c>
      <c r="C740" s="57">
        <v>7.568862275449102</v>
      </c>
    </row>
    <row r="741" spans="1:3" x14ac:dyDescent="0.35">
      <c r="A741" s="1">
        <v>694</v>
      </c>
      <c r="B741" s="57" t="s">
        <v>30</v>
      </c>
      <c r="C741" s="57">
        <v>7.4792899408284024</v>
      </c>
    </row>
    <row r="742" spans="1:3" x14ac:dyDescent="0.35">
      <c r="A742" s="1">
        <v>695</v>
      </c>
      <c r="B742" s="57" t="s">
        <v>30</v>
      </c>
      <c r="C742" s="57">
        <v>7.3918128654970756</v>
      </c>
    </row>
    <row r="743" spans="1:3" x14ac:dyDescent="0.35">
      <c r="A743" s="1">
        <v>696</v>
      </c>
      <c r="B743" s="57" t="s">
        <v>30</v>
      </c>
      <c r="C743" s="57">
        <v>7.3063583815028901</v>
      </c>
    </row>
    <row r="744" spans="1:3" x14ac:dyDescent="0.35">
      <c r="A744" s="1">
        <v>697</v>
      </c>
      <c r="B744" s="1" t="s">
        <v>25</v>
      </c>
      <c r="C744" s="1">
        <v>0</v>
      </c>
    </row>
    <row r="745" spans="1:3" x14ac:dyDescent="0.35">
      <c r="A745" s="1">
        <v>698</v>
      </c>
      <c r="B745" s="1" t="s">
        <v>25</v>
      </c>
      <c r="C745" s="1">
        <v>0</v>
      </c>
    </row>
    <row r="746" spans="1:3" x14ac:dyDescent="0.35">
      <c r="A746" s="1">
        <v>699</v>
      </c>
      <c r="B746" s="1" t="s">
        <v>25</v>
      </c>
      <c r="C746" s="1">
        <v>0</v>
      </c>
    </row>
    <row r="747" spans="1:3" x14ac:dyDescent="0.35">
      <c r="A747" s="1">
        <v>700</v>
      </c>
      <c r="B747" s="1" t="s">
        <v>25</v>
      </c>
      <c r="C747" s="1">
        <v>0</v>
      </c>
    </row>
    <row r="748" spans="1:3" x14ac:dyDescent="0.35">
      <c r="A748" s="1">
        <v>701</v>
      </c>
      <c r="B748" s="1" t="s">
        <v>25</v>
      </c>
      <c r="C748" s="1">
        <v>0</v>
      </c>
    </row>
    <row r="749" spans="1:3" x14ac:dyDescent="0.35">
      <c r="A749" s="1">
        <v>702</v>
      </c>
      <c r="B749" s="1" t="s">
        <v>25</v>
      </c>
      <c r="C749" s="1">
        <v>0</v>
      </c>
    </row>
    <row r="750" spans="1:3" x14ac:dyDescent="0.35">
      <c r="A750" s="1">
        <v>703</v>
      </c>
      <c r="B750" s="1" t="s">
        <v>25</v>
      </c>
      <c r="C750" s="1">
        <v>0</v>
      </c>
    </row>
    <row r="751" spans="1:3" x14ac:dyDescent="0.35">
      <c r="A751" s="1">
        <v>704</v>
      </c>
      <c r="B751" s="1" t="s">
        <v>25</v>
      </c>
      <c r="C751" s="1">
        <v>0</v>
      </c>
    </row>
    <row r="752" spans="1:3" x14ac:dyDescent="0.35">
      <c r="A752" s="1">
        <v>705</v>
      </c>
      <c r="B752" s="1" t="s">
        <v>25</v>
      </c>
      <c r="C752" s="1">
        <v>0</v>
      </c>
    </row>
    <row r="753" spans="1:3" x14ac:dyDescent="0.35">
      <c r="A753" s="1">
        <v>706</v>
      </c>
      <c r="B753" s="1" t="s">
        <v>25</v>
      </c>
      <c r="C753" s="1">
        <v>0</v>
      </c>
    </row>
    <row r="754" spans="1:3" x14ac:dyDescent="0.35">
      <c r="A754" s="1">
        <v>707</v>
      </c>
      <c r="B754" s="1" t="s">
        <v>25</v>
      </c>
      <c r="C754" s="1">
        <v>0</v>
      </c>
    </row>
    <row r="755" spans="1:3" x14ac:dyDescent="0.35">
      <c r="A755" s="1">
        <v>708</v>
      </c>
      <c r="B755" s="1" t="s">
        <v>25</v>
      </c>
      <c r="C755" s="1">
        <v>0</v>
      </c>
    </row>
    <row r="756" spans="1:3" x14ac:dyDescent="0.35">
      <c r="A756" s="1">
        <v>709</v>
      </c>
      <c r="B756" s="1" t="s">
        <v>25</v>
      </c>
      <c r="C756" s="1">
        <v>0</v>
      </c>
    </row>
    <row r="757" spans="1:3" x14ac:dyDescent="0.35">
      <c r="A757" s="1">
        <v>710</v>
      </c>
      <c r="B757" s="1" t="s">
        <v>25</v>
      </c>
      <c r="C757" s="1">
        <v>0</v>
      </c>
    </row>
    <row r="758" spans="1:3" x14ac:dyDescent="0.35">
      <c r="A758" s="1">
        <v>711</v>
      </c>
      <c r="B758" s="1" t="s">
        <v>25</v>
      </c>
      <c r="C758" s="1">
        <v>0</v>
      </c>
    </row>
    <row r="759" spans="1:3" x14ac:dyDescent="0.35">
      <c r="A759" s="1">
        <v>712</v>
      </c>
      <c r="B759" s="1" t="s">
        <v>25</v>
      </c>
      <c r="C759" s="1">
        <v>0</v>
      </c>
    </row>
    <row r="760" spans="1:3" x14ac:dyDescent="0.35">
      <c r="A760" s="1">
        <v>713</v>
      </c>
      <c r="B760" s="1" t="s">
        <v>25</v>
      </c>
      <c r="C760" s="1">
        <v>0</v>
      </c>
    </row>
    <row r="761" spans="1:3" x14ac:dyDescent="0.35">
      <c r="A761" s="1">
        <v>714</v>
      </c>
      <c r="B761" s="1" t="s">
        <v>25</v>
      </c>
      <c r="C761" s="1">
        <v>0</v>
      </c>
    </row>
    <row r="762" spans="1:3" x14ac:dyDescent="0.35">
      <c r="A762" s="1">
        <v>715</v>
      </c>
      <c r="B762" s="1" t="s">
        <v>25</v>
      </c>
      <c r="C762" s="1">
        <v>0</v>
      </c>
    </row>
    <row r="763" spans="1:3" x14ac:dyDescent="0.35">
      <c r="A763" s="1">
        <v>716</v>
      </c>
      <c r="B763" s="1" t="s">
        <v>25</v>
      </c>
      <c r="C763" s="1">
        <v>0</v>
      </c>
    </row>
    <row r="764" spans="1:3" x14ac:dyDescent="0.35">
      <c r="A764" s="1">
        <v>717</v>
      </c>
      <c r="B764" s="1" t="s">
        <v>25</v>
      </c>
      <c r="C764" s="1">
        <v>0</v>
      </c>
    </row>
    <row r="765" spans="1:3" x14ac:dyDescent="0.35">
      <c r="A765" s="1">
        <v>718</v>
      </c>
      <c r="B765" s="1" t="s">
        <v>25</v>
      </c>
      <c r="C765" s="1">
        <v>0</v>
      </c>
    </row>
    <row r="766" spans="1:3" x14ac:dyDescent="0.35">
      <c r="A766" s="1">
        <v>719</v>
      </c>
      <c r="B766" s="1" t="s">
        <v>25</v>
      </c>
      <c r="C766" s="1">
        <v>0</v>
      </c>
    </row>
    <row r="767" spans="1:3" x14ac:dyDescent="0.35">
      <c r="A767" s="1">
        <v>720</v>
      </c>
      <c r="B767" s="1" t="s">
        <v>25</v>
      </c>
      <c r="C767" s="1">
        <v>0</v>
      </c>
    </row>
    <row r="768" spans="1:3" x14ac:dyDescent="0.35">
      <c r="A768" s="1">
        <v>721</v>
      </c>
      <c r="B768" s="1" t="s">
        <v>25</v>
      </c>
      <c r="C768" s="1">
        <v>0</v>
      </c>
    </row>
    <row r="769" spans="1:3" x14ac:dyDescent="0.35">
      <c r="A769" s="1">
        <v>722</v>
      </c>
      <c r="B769" s="1" t="s">
        <v>25</v>
      </c>
      <c r="C769" s="1">
        <v>0</v>
      </c>
    </row>
    <row r="770" spans="1:3" x14ac:dyDescent="0.35">
      <c r="A770" s="1">
        <v>723</v>
      </c>
      <c r="B770" s="1" t="s">
        <v>25</v>
      </c>
      <c r="C770" s="1">
        <v>0</v>
      </c>
    </row>
    <row r="771" spans="1:3" x14ac:dyDescent="0.35">
      <c r="A771" s="1">
        <v>724</v>
      </c>
      <c r="B771" s="1" t="s">
        <v>25</v>
      </c>
      <c r="C771" s="1">
        <v>0</v>
      </c>
    </row>
    <row r="772" spans="1:3" x14ac:dyDescent="0.35">
      <c r="A772" s="1">
        <v>725</v>
      </c>
      <c r="B772" s="1" t="s">
        <v>25</v>
      </c>
      <c r="C772" s="1">
        <v>0</v>
      </c>
    </row>
    <row r="773" spans="1:3" x14ac:dyDescent="0.35">
      <c r="A773" s="1">
        <v>726</v>
      </c>
      <c r="B773" s="1" t="s">
        <v>25</v>
      </c>
      <c r="C773" s="1">
        <v>0</v>
      </c>
    </row>
    <row r="774" spans="1:3" x14ac:dyDescent="0.35">
      <c r="A774" s="1">
        <v>727</v>
      </c>
      <c r="B774" s="1" t="s">
        <v>25</v>
      </c>
      <c r="C774" s="1">
        <v>0</v>
      </c>
    </row>
    <row r="775" spans="1:3" x14ac:dyDescent="0.35">
      <c r="A775" s="1">
        <v>728</v>
      </c>
      <c r="B775" s="1" t="s">
        <v>25</v>
      </c>
      <c r="C775" s="1">
        <v>0</v>
      </c>
    </row>
    <row r="776" spans="1:3" x14ac:dyDescent="0.35">
      <c r="A776" s="1">
        <v>729</v>
      </c>
      <c r="B776" s="1" t="s">
        <v>25</v>
      </c>
      <c r="C776" s="1">
        <v>0</v>
      </c>
    </row>
    <row r="777" spans="1:3" x14ac:dyDescent="0.35">
      <c r="A777" s="1">
        <v>730</v>
      </c>
      <c r="B777" s="1" t="s">
        <v>25</v>
      </c>
      <c r="C777" s="1">
        <v>0</v>
      </c>
    </row>
    <row r="778" spans="1:3" x14ac:dyDescent="0.35">
      <c r="A778" s="1">
        <v>731</v>
      </c>
      <c r="B778" s="1" t="s">
        <v>25</v>
      </c>
      <c r="C778" s="1">
        <v>0</v>
      </c>
    </row>
    <row r="779" spans="1:3" x14ac:dyDescent="0.35">
      <c r="A779" s="1">
        <v>732</v>
      </c>
      <c r="B779" s="1" t="s">
        <v>25</v>
      </c>
      <c r="C779" s="1">
        <v>0</v>
      </c>
    </row>
    <row r="780" spans="1:3" x14ac:dyDescent="0.35">
      <c r="A780" s="1">
        <v>733</v>
      </c>
      <c r="B780" s="1" t="s">
        <v>25</v>
      </c>
      <c r="C780" s="1">
        <v>0</v>
      </c>
    </row>
    <row r="781" spans="1:3" x14ac:dyDescent="0.35">
      <c r="A781" s="1">
        <v>734</v>
      </c>
      <c r="B781" s="1" t="s">
        <v>25</v>
      </c>
      <c r="C781" s="1">
        <v>0</v>
      </c>
    </row>
    <row r="782" spans="1:3" x14ac:dyDescent="0.35">
      <c r="A782" s="1">
        <v>735</v>
      </c>
      <c r="B782" s="1" t="s">
        <v>25</v>
      </c>
      <c r="C782" s="1">
        <v>0</v>
      </c>
    </row>
    <row r="783" spans="1:3" x14ac:dyDescent="0.35">
      <c r="A783" s="1">
        <v>736</v>
      </c>
      <c r="B783" s="1" t="s">
        <v>25</v>
      </c>
      <c r="C783" s="1">
        <v>0</v>
      </c>
    </row>
    <row r="784" spans="1:3" x14ac:dyDescent="0.35">
      <c r="A784" s="1">
        <v>737</v>
      </c>
      <c r="B784" s="1" t="s">
        <v>25</v>
      </c>
      <c r="C784" s="1">
        <v>0</v>
      </c>
    </row>
    <row r="785" spans="1:3" x14ac:dyDescent="0.35">
      <c r="A785" s="1">
        <v>738</v>
      </c>
      <c r="B785" s="1" t="s">
        <v>25</v>
      </c>
      <c r="C785" s="1">
        <v>0</v>
      </c>
    </row>
    <row r="786" spans="1:3" x14ac:dyDescent="0.35">
      <c r="A786" s="1">
        <v>739</v>
      </c>
      <c r="B786" s="1" t="s">
        <v>25</v>
      </c>
      <c r="C786" s="1">
        <v>0</v>
      </c>
    </row>
    <row r="787" spans="1:3" x14ac:dyDescent="0.35">
      <c r="A787" s="1">
        <v>740</v>
      </c>
      <c r="B787" s="1" t="s">
        <v>25</v>
      </c>
      <c r="C787" s="1">
        <v>0</v>
      </c>
    </row>
    <row r="788" spans="1:3" x14ac:dyDescent="0.35">
      <c r="A788" s="1">
        <v>741</v>
      </c>
      <c r="B788" s="1" t="s">
        <v>25</v>
      </c>
      <c r="C788" s="1">
        <v>0</v>
      </c>
    </row>
    <row r="789" spans="1:3" x14ac:dyDescent="0.35">
      <c r="A789" s="1">
        <v>742</v>
      </c>
      <c r="B789" s="1" t="s">
        <v>25</v>
      </c>
      <c r="C789" s="1">
        <v>0</v>
      </c>
    </row>
    <row r="790" spans="1:3" x14ac:dyDescent="0.35">
      <c r="A790" s="1">
        <v>743</v>
      </c>
      <c r="B790" s="1" t="s">
        <v>25</v>
      </c>
      <c r="C790" s="1">
        <v>0</v>
      </c>
    </row>
    <row r="791" spans="1:3" x14ac:dyDescent="0.35">
      <c r="A791" s="1">
        <v>744</v>
      </c>
      <c r="B791" s="1" t="s">
        <v>25</v>
      </c>
      <c r="C791" s="1">
        <v>0</v>
      </c>
    </row>
    <row r="792" spans="1:3" x14ac:dyDescent="0.35">
      <c r="A792" s="1">
        <v>745</v>
      </c>
      <c r="B792" s="1" t="s">
        <v>25</v>
      </c>
      <c r="C792" s="1">
        <v>0</v>
      </c>
    </row>
    <row r="793" spans="1:3" x14ac:dyDescent="0.35">
      <c r="A793" s="1">
        <v>746</v>
      </c>
      <c r="B793" s="1" t="s">
        <v>25</v>
      </c>
      <c r="C793" s="1">
        <v>0</v>
      </c>
    </row>
    <row r="794" spans="1:3" x14ac:dyDescent="0.35">
      <c r="A794" s="1">
        <v>747</v>
      </c>
      <c r="B794" s="1" t="s">
        <v>25</v>
      </c>
      <c r="C794" s="1">
        <v>0</v>
      </c>
    </row>
    <row r="795" spans="1:3" x14ac:dyDescent="0.35">
      <c r="A795" s="1">
        <v>748</v>
      </c>
      <c r="B795" s="1" t="s">
        <v>25</v>
      </c>
      <c r="C795" s="1">
        <v>0</v>
      </c>
    </row>
    <row r="796" spans="1:3" x14ac:dyDescent="0.35">
      <c r="A796" s="1">
        <v>749</v>
      </c>
      <c r="B796" s="1" t="s">
        <v>25</v>
      </c>
      <c r="C796" s="1">
        <v>0</v>
      </c>
    </row>
    <row r="797" spans="1:3" x14ac:dyDescent="0.35">
      <c r="A797" s="1">
        <v>750</v>
      </c>
      <c r="B797" s="1" t="s">
        <v>25</v>
      </c>
      <c r="C797" s="1">
        <v>0</v>
      </c>
    </row>
    <row r="798" spans="1:3" x14ac:dyDescent="0.35">
      <c r="A798" s="1">
        <v>751</v>
      </c>
      <c r="B798" s="1" t="s">
        <v>25</v>
      </c>
      <c r="C798" s="1">
        <v>0</v>
      </c>
    </row>
    <row r="799" spans="1:3" x14ac:dyDescent="0.35">
      <c r="A799" s="1">
        <v>752</v>
      </c>
      <c r="B799" s="1" t="s">
        <v>25</v>
      </c>
      <c r="C799" s="1">
        <v>0</v>
      </c>
    </row>
    <row r="800" spans="1:3" x14ac:dyDescent="0.35">
      <c r="A800" s="1">
        <v>753</v>
      </c>
      <c r="B800" s="1" t="s">
        <v>25</v>
      </c>
      <c r="C800" s="1">
        <v>0</v>
      </c>
    </row>
    <row r="801" spans="1:3" x14ac:dyDescent="0.35">
      <c r="A801" s="1">
        <v>754</v>
      </c>
      <c r="B801" s="1" t="s">
        <v>25</v>
      </c>
      <c r="C801" s="1">
        <v>0</v>
      </c>
    </row>
    <row r="802" spans="1:3" x14ac:dyDescent="0.35">
      <c r="A802" s="1">
        <v>755</v>
      </c>
      <c r="B802" s="1" t="s">
        <v>25</v>
      </c>
      <c r="C802" s="1">
        <v>0</v>
      </c>
    </row>
    <row r="803" spans="1:3" x14ac:dyDescent="0.35">
      <c r="A803" s="1">
        <v>756</v>
      </c>
      <c r="B803" s="1" t="s">
        <v>25</v>
      </c>
      <c r="C803" s="1">
        <v>0</v>
      </c>
    </row>
    <row r="804" spans="1:3" x14ac:dyDescent="0.35">
      <c r="A804" s="1">
        <v>757</v>
      </c>
      <c r="B804" s="1" t="s">
        <v>25</v>
      </c>
      <c r="C804" s="1">
        <v>0</v>
      </c>
    </row>
    <row r="805" spans="1:3" x14ac:dyDescent="0.35">
      <c r="A805" s="1">
        <v>758</v>
      </c>
      <c r="B805" s="1" t="s">
        <v>25</v>
      </c>
      <c r="C805" s="1">
        <v>0</v>
      </c>
    </row>
    <row r="806" spans="1:3" x14ac:dyDescent="0.35">
      <c r="A806" s="1">
        <v>759</v>
      </c>
      <c r="B806" s="1" t="s">
        <v>25</v>
      </c>
      <c r="C806" s="1">
        <v>0</v>
      </c>
    </row>
    <row r="807" spans="1:3" x14ac:dyDescent="0.35">
      <c r="A807" s="1">
        <v>760</v>
      </c>
      <c r="B807" s="1" t="s">
        <v>25</v>
      </c>
      <c r="C807" s="1">
        <v>0</v>
      </c>
    </row>
    <row r="808" spans="1:3" x14ac:dyDescent="0.35">
      <c r="A808" s="1">
        <v>761</v>
      </c>
      <c r="B808" s="1" t="s">
        <v>25</v>
      </c>
      <c r="C808" s="1">
        <v>0</v>
      </c>
    </row>
    <row r="809" spans="1:3" x14ac:dyDescent="0.35">
      <c r="A809" s="1">
        <v>762</v>
      </c>
      <c r="B809" s="1" t="s">
        <v>25</v>
      </c>
      <c r="C809" s="1">
        <v>0</v>
      </c>
    </row>
    <row r="810" spans="1:3" x14ac:dyDescent="0.35">
      <c r="A810" s="1">
        <v>763</v>
      </c>
      <c r="B810" s="1" t="s">
        <v>25</v>
      </c>
      <c r="C810" s="1">
        <v>0</v>
      </c>
    </row>
    <row r="811" spans="1:3" x14ac:dyDescent="0.35">
      <c r="A811" s="1">
        <v>764</v>
      </c>
      <c r="B811" s="1" t="s">
        <v>25</v>
      </c>
      <c r="C811" s="1">
        <v>0</v>
      </c>
    </row>
    <row r="812" spans="1:3" x14ac:dyDescent="0.35">
      <c r="A812" s="1">
        <v>765</v>
      </c>
      <c r="B812" s="1" t="s">
        <v>25</v>
      </c>
      <c r="C812" s="1">
        <v>0</v>
      </c>
    </row>
    <row r="813" spans="1:3" x14ac:dyDescent="0.35">
      <c r="A813" s="1">
        <v>766</v>
      </c>
      <c r="B813" s="1" t="s">
        <v>25</v>
      </c>
      <c r="C813" s="1">
        <v>0</v>
      </c>
    </row>
    <row r="814" spans="1:3" x14ac:dyDescent="0.35">
      <c r="A814" s="1">
        <v>767</v>
      </c>
      <c r="B814" s="1" t="s">
        <v>25</v>
      </c>
      <c r="C814" s="1">
        <v>0</v>
      </c>
    </row>
    <row r="815" spans="1:3" x14ac:dyDescent="0.35">
      <c r="A815" s="1">
        <v>768</v>
      </c>
      <c r="B815" s="1" t="s">
        <v>25</v>
      </c>
      <c r="C815" s="1">
        <v>0</v>
      </c>
    </row>
    <row r="816" spans="1:3" x14ac:dyDescent="0.35">
      <c r="A816" s="1">
        <v>769</v>
      </c>
      <c r="B816" s="1" t="s">
        <v>25</v>
      </c>
      <c r="C816" s="1">
        <v>0</v>
      </c>
    </row>
    <row r="817" spans="1:3" x14ac:dyDescent="0.35">
      <c r="A817" s="1">
        <v>770</v>
      </c>
      <c r="B817" s="1" t="s">
        <v>25</v>
      </c>
      <c r="C817" s="1">
        <v>0</v>
      </c>
    </row>
    <row r="818" spans="1:3" x14ac:dyDescent="0.35">
      <c r="A818" s="1">
        <v>771</v>
      </c>
      <c r="B818" s="1" t="s">
        <v>25</v>
      </c>
      <c r="C818" s="1">
        <v>0</v>
      </c>
    </row>
    <row r="819" spans="1:3" x14ac:dyDescent="0.35">
      <c r="A819" s="1">
        <v>772</v>
      </c>
      <c r="B819" s="1" t="s">
        <v>25</v>
      </c>
      <c r="C819" s="1">
        <v>0</v>
      </c>
    </row>
    <row r="820" spans="1:3" x14ac:dyDescent="0.35">
      <c r="A820" s="1">
        <v>773</v>
      </c>
      <c r="B820" s="1" t="s">
        <v>25</v>
      </c>
      <c r="C820" s="1">
        <v>0</v>
      </c>
    </row>
    <row r="821" spans="1:3" x14ac:dyDescent="0.35">
      <c r="A821" s="1">
        <v>774</v>
      </c>
      <c r="B821" s="1" t="s">
        <v>25</v>
      </c>
      <c r="C821" s="1">
        <v>0</v>
      </c>
    </row>
    <row r="822" spans="1:3" x14ac:dyDescent="0.35">
      <c r="A822" s="1">
        <v>775</v>
      </c>
      <c r="B822" s="1" t="s">
        <v>25</v>
      </c>
      <c r="C822" s="1">
        <v>0</v>
      </c>
    </row>
    <row r="823" spans="1:3" x14ac:dyDescent="0.35">
      <c r="A823" s="1">
        <v>776</v>
      </c>
      <c r="B823" s="1" t="s">
        <v>25</v>
      </c>
      <c r="C823" s="1">
        <v>0</v>
      </c>
    </row>
    <row r="824" spans="1:3" x14ac:dyDescent="0.35">
      <c r="A824" s="1">
        <v>777</v>
      </c>
      <c r="B824" s="1" t="s">
        <v>25</v>
      </c>
      <c r="C824" s="1">
        <v>0</v>
      </c>
    </row>
    <row r="825" spans="1:3" x14ac:dyDescent="0.35">
      <c r="A825" s="1">
        <v>778</v>
      </c>
      <c r="B825" s="1" t="s">
        <v>25</v>
      </c>
      <c r="C825" s="1">
        <v>0</v>
      </c>
    </row>
    <row r="826" spans="1:3" x14ac:dyDescent="0.35">
      <c r="A826" s="1">
        <v>779</v>
      </c>
      <c r="B826" s="1" t="s">
        <v>25</v>
      </c>
      <c r="C826" s="1">
        <v>0</v>
      </c>
    </row>
    <row r="827" spans="1:3" x14ac:dyDescent="0.35">
      <c r="A827" s="1">
        <v>780</v>
      </c>
      <c r="B827" s="1" t="s">
        <v>25</v>
      </c>
      <c r="C827" s="1">
        <v>0</v>
      </c>
    </row>
    <row r="828" spans="1:3" x14ac:dyDescent="0.35">
      <c r="A828" s="1">
        <v>781</v>
      </c>
      <c r="B828" s="1" t="s">
        <v>25</v>
      </c>
      <c r="C828" s="1">
        <v>0</v>
      </c>
    </row>
    <row r="829" spans="1:3" x14ac:dyDescent="0.35">
      <c r="A829" s="1">
        <v>782</v>
      </c>
      <c r="B829" s="1" t="s">
        <v>25</v>
      </c>
      <c r="C829" s="1">
        <v>0</v>
      </c>
    </row>
    <row r="830" spans="1:3" x14ac:dyDescent="0.35">
      <c r="A830" s="1">
        <v>783</v>
      </c>
      <c r="B830" s="1" t="s">
        <v>25</v>
      </c>
      <c r="C830" s="1">
        <v>0</v>
      </c>
    </row>
    <row r="831" spans="1:3" x14ac:dyDescent="0.35">
      <c r="A831" s="1">
        <v>784</v>
      </c>
      <c r="B831" s="1" t="s">
        <v>25</v>
      </c>
      <c r="C831" s="1">
        <v>0</v>
      </c>
    </row>
    <row r="832" spans="1:3" x14ac:dyDescent="0.35">
      <c r="A832" s="1">
        <v>785</v>
      </c>
      <c r="B832" s="1" t="s">
        <v>25</v>
      </c>
      <c r="C832" s="1">
        <v>0</v>
      </c>
    </row>
    <row r="833" spans="1:3" x14ac:dyDescent="0.35">
      <c r="A833" s="1">
        <v>786</v>
      </c>
      <c r="B833" s="1" t="s">
        <v>25</v>
      </c>
      <c r="C833" s="1">
        <v>0</v>
      </c>
    </row>
    <row r="834" spans="1:3" x14ac:dyDescent="0.35">
      <c r="A834" s="1">
        <v>787</v>
      </c>
      <c r="B834" s="1" t="s">
        <v>25</v>
      </c>
      <c r="C834" s="1">
        <v>0</v>
      </c>
    </row>
    <row r="835" spans="1:3" x14ac:dyDescent="0.35">
      <c r="A835" s="1">
        <v>788</v>
      </c>
      <c r="B835" s="1" t="s">
        <v>25</v>
      </c>
      <c r="C835" s="1">
        <v>0</v>
      </c>
    </row>
    <row r="836" spans="1:3" x14ac:dyDescent="0.35">
      <c r="A836" s="1">
        <v>789</v>
      </c>
      <c r="B836" s="1" t="s">
        <v>25</v>
      </c>
      <c r="C836" s="1">
        <v>0</v>
      </c>
    </row>
    <row r="837" spans="1:3" x14ac:dyDescent="0.35">
      <c r="A837" s="1">
        <v>790</v>
      </c>
      <c r="B837" s="1" t="s">
        <v>25</v>
      </c>
      <c r="C837" s="1">
        <v>0</v>
      </c>
    </row>
    <row r="838" spans="1:3" x14ac:dyDescent="0.35">
      <c r="A838" s="1">
        <v>791</v>
      </c>
      <c r="B838" s="1" t="s">
        <v>25</v>
      </c>
      <c r="C838" s="1">
        <v>0</v>
      </c>
    </row>
    <row r="839" spans="1:3" x14ac:dyDescent="0.35">
      <c r="A839" s="1">
        <v>792</v>
      </c>
      <c r="B839" s="1" t="s">
        <v>25</v>
      </c>
      <c r="C839" s="1">
        <v>0</v>
      </c>
    </row>
    <row r="840" spans="1:3" x14ac:dyDescent="0.35">
      <c r="A840" s="1">
        <v>793</v>
      </c>
      <c r="B840" s="1" t="s">
        <v>25</v>
      </c>
      <c r="C840" s="1">
        <v>0</v>
      </c>
    </row>
    <row r="841" spans="1:3" x14ac:dyDescent="0.35">
      <c r="A841" s="1">
        <v>794</v>
      </c>
      <c r="B841" s="1" t="s">
        <v>25</v>
      </c>
      <c r="C841" s="1">
        <v>0</v>
      </c>
    </row>
    <row r="842" spans="1:3" x14ac:dyDescent="0.35">
      <c r="A842" s="1">
        <v>795</v>
      </c>
      <c r="B842" s="1" t="s">
        <v>25</v>
      </c>
      <c r="C842" s="1">
        <v>0</v>
      </c>
    </row>
    <row r="843" spans="1:3" x14ac:dyDescent="0.35">
      <c r="A843" s="1">
        <v>796</v>
      </c>
      <c r="B843" s="1" t="s">
        <v>25</v>
      </c>
      <c r="C843" s="1">
        <v>0</v>
      </c>
    </row>
    <row r="844" spans="1:3" x14ac:dyDescent="0.35">
      <c r="A844" s="1">
        <v>797</v>
      </c>
      <c r="B844" s="1" t="s">
        <v>25</v>
      </c>
      <c r="C844" s="1">
        <v>0</v>
      </c>
    </row>
    <row r="845" spans="1:3" x14ac:dyDescent="0.35">
      <c r="A845" s="1">
        <v>798</v>
      </c>
      <c r="B845" s="1" t="s">
        <v>25</v>
      </c>
      <c r="C845" s="1">
        <v>0</v>
      </c>
    </row>
    <row r="846" spans="1:3" x14ac:dyDescent="0.35">
      <c r="A846" s="1">
        <v>799</v>
      </c>
      <c r="B846" s="1" t="s">
        <v>25</v>
      </c>
      <c r="C846" s="1">
        <v>0</v>
      </c>
    </row>
    <row r="847" spans="1:3" x14ac:dyDescent="0.35">
      <c r="A847" s="1">
        <v>800</v>
      </c>
      <c r="B847" s="1" t="s">
        <v>25</v>
      </c>
      <c r="C847" s="1">
        <v>0</v>
      </c>
    </row>
    <row r="848" spans="1:3" x14ac:dyDescent="0.35">
      <c r="A848" s="1">
        <v>801</v>
      </c>
      <c r="B848" s="1" t="s">
        <v>25</v>
      </c>
      <c r="C848" s="1">
        <v>0</v>
      </c>
    </row>
    <row r="849" spans="1:3" x14ac:dyDescent="0.35">
      <c r="A849" s="1">
        <v>802</v>
      </c>
      <c r="B849" s="1" t="s">
        <v>25</v>
      </c>
      <c r="C849" s="1">
        <v>0</v>
      </c>
    </row>
    <row r="850" spans="1:3" x14ac:dyDescent="0.35">
      <c r="A850" s="1">
        <v>803</v>
      </c>
      <c r="B850" s="1" t="s">
        <v>25</v>
      </c>
      <c r="C850" s="1">
        <v>0</v>
      </c>
    </row>
    <row r="851" spans="1:3" x14ac:dyDescent="0.35">
      <c r="A851" s="1">
        <v>804</v>
      </c>
      <c r="B851" s="1" t="s">
        <v>25</v>
      </c>
      <c r="C851" s="1">
        <v>0</v>
      </c>
    </row>
    <row r="852" spans="1:3" x14ac:dyDescent="0.35">
      <c r="A852" s="1">
        <v>805</v>
      </c>
      <c r="B852" s="1" t="s">
        <v>25</v>
      </c>
      <c r="C852" s="1">
        <v>0</v>
      </c>
    </row>
    <row r="853" spans="1:3" x14ac:dyDescent="0.35">
      <c r="A853" s="1">
        <v>806</v>
      </c>
      <c r="B853" s="1" t="s">
        <v>25</v>
      </c>
      <c r="C853" s="1">
        <v>0</v>
      </c>
    </row>
    <row r="854" spans="1:3" x14ac:dyDescent="0.35">
      <c r="A854" s="1">
        <v>807</v>
      </c>
      <c r="B854" s="1" t="s">
        <v>25</v>
      </c>
      <c r="C854" s="1">
        <v>0</v>
      </c>
    </row>
    <row r="855" spans="1:3" x14ac:dyDescent="0.35">
      <c r="A855" s="1">
        <v>808</v>
      </c>
      <c r="B855" s="1" t="s">
        <v>25</v>
      </c>
      <c r="C855" s="1">
        <v>0</v>
      </c>
    </row>
    <row r="856" spans="1:3" x14ac:dyDescent="0.35">
      <c r="A856" s="1">
        <v>809</v>
      </c>
      <c r="B856" s="1" t="s">
        <v>25</v>
      </c>
      <c r="C856" s="1">
        <v>0</v>
      </c>
    </row>
    <row r="857" spans="1:3" x14ac:dyDescent="0.35">
      <c r="A857" s="1">
        <v>810</v>
      </c>
      <c r="B857" s="1" t="s">
        <v>25</v>
      </c>
      <c r="C857" s="1">
        <v>0</v>
      </c>
    </row>
    <row r="858" spans="1:3" x14ac:dyDescent="0.35">
      <c r="A858" s="1">
        <v>811</v>
      </c>
      <c r="B858" s="1" t="s">
        <v>25</v>
      </c>
      <c r="C858" s="1">
        <v>0</v>
      </c>
    </row>
    <row r="859" spans="1:3" x14ac:dyDescent="0.35">
      <c r="A859" s="1">
        <v>812</v>
      </c>
      <c r="B859" s="1" t="s">
        <v>25</v>
      </c>
      <c r="C859" s="1">
        <v>0</v>
      </c>
    </row>
    <row r="860" spans="1:3" x14ac:dyDescent="0.35">
      <c r="A860" s="1">
        <v>813</v>
      </c>
      <c r="B860" s="1" t="s">
        <v>25</v>
      </c>
      <c r="C860" s="1">
        <v>0</v>
      </c>
    </row>
    <row r="861" spans="1:3" x14ac:dyDescent="0.35">
      <c r="A861" s="1">
        <v>814</v>
      </c>
      <c r="B861" s="1" t="s">
        <v>25</v>
      </c>
      <c r="C861" s="1">
        <v>0</v>
      </c>
    </row>
    <row r="862" spans="1:3" x14ac:dyDescent="0.35">
      <c r="A862" s="1">
        <v>815</v>
      </c>
      <c r="B862" s="1" t="s">
        <v>25</v>
      </c>
      <c r="C862" s="1">
        <v>0</v>
      </c>
    </row>
    <row r="863" spans="1:3" x14ac:dyDescent="0.35">
      <c r="A863" s="1">
        <v>816</v>
      </c>
      <c r="B863" s="1" t="s">
        <v>25</v>
      </c>
      <c r="C863" s="1">
        <v>0</v>
      </c>
    </row>
    <row r="864" spans="1:3" x14ac:dyDescent="0.35">
      <c r="A864" s="1">
        <v>817</v>
      </c>
      <c r="B864" s="1" t="s">
        <v>25</v>
      </c>
      <c r="C864" s="1">
        <v>0</v>
      </c>
    </row>
    <row r="865" spans="1:3" x14ac:dyDescent="0.35">
      <c r="A865" s="1">
        <v>818</v>
      </c>
      <c r="B865" s="1" t="s">
        <v>25</v>
      </c>
      <c r="C865" s="1">
        <v>0</v>
      </c>
    </row>
    <row r="866" spans="1:3" x14ac:dyDescent="0.35">
      <c r="A866" s="1">
        <v>819</v>
      </c>
      <c r="B866" s="1" t="s">
        <v>25</v>
      </c>
      <c r="C866" s="1">
        <v>0</v>
      </c>
    </row>
    <row r="867" spans="1:3" x14ac:dyDescent="0.35">
      <c r="A867" s="1">
        <v>820</v>
      </c>
      <c r="B867" s="1" t="s">
        <v>25</v>
      </c>
      <c r="C867" s="1">
        <v>0</v>
      </c>
    </row>
    <row r="868" spans="1:3" x14ac:dyDescent="0.35">
      <c r="A868" s="1">
        <v>821</v>
      </c>
      <c r="B868" s="1" t="s">
        <v>25</v>
      </c>
      <c r="C868" s="1">
        <v>0</v>
      </c>
    </row>
    <row r="869" spans="1:3" x14ac:dyDescent="0.35">
      <c r="A869" s="1">
        <v>822</v>
      </c>
      <c r="B869" s="1" t="s">
        <v>25</v>
      </c>
      <c r="C869" s="1">
        <v>0</v>
      </c>
    </row>
    <row r="870" spans="1:3" x14ac:dyDescent="0.35">
      <c r="A870" s="1">
        <v>823</v>
      </c>
      <c r="B870" s="1" t="s">
        <v>25</v>
      </c>
      <c r="C870" s="1">
        <v>0</v>
      </c>
    </row>
    <row r="871" spans="1:3" x14ac:dyDescent="0.35">
      <c r="A871" s="1">
        <v>824</v>
      </c>
      <c r="B871" s="1" t="s">
        <v>25</v>
      </c>
      <c r="C871" s="1">
        <v>0</v>
      </c>
    </row>
    <row r="872" spans="1:3" x14ac:dyDescent="0.35">
      <c r="A872" s="1">
        <v>825</v>
      </c>
      <c r="B872" s="1" t="s">
        <v>25</v>
      </c>
      <c r="C872" s="1">
        <v>0</v>
      </c>
    </row>
    <row r="873" spans="1:3" x14ac:dyDescent="0.35">
      <c r="A873" s="1">
        <v>826</v>
      </c>
      <c r="B873" s="1" t="s">
        <v>25</v>
      </c>
      <c r="C873" s="1">
        <v>0</v>
      </c>
    </row>
    <row r="874" spans="1:3" x14ac:dyDescent="0.35">
      <c r="A874" s="1">
        <v>827</v>
      </c>
      <c r="B874" s="1" t="s">
        <v>25</v>
      </c>
      <c r="C874" s="1">
        <v>0</v>
      </c>
    </row>
    <row r="875" spans="1:3" x14ac:dyDescent="0.35">
      <c r="A875" s="1">
        <v>828</v>
      </c>
      <c r="B875" s="1" t="s">
        <v>25</v>
      </c>
      <c r="C875" s="1">
        <v>0</v>
      </c>
    </row>
    <row r="876" spans="1:3" x14ac:dyDescent="0.35">
      <c r="A876" s="1">
        <v>829</v>
      </c>
      <c r="B876" s="1" t="s">
        <v>25</v>
      </c>
      <c r="C876" s="1">
        <v>0</v>
      </c>
    </row>
    <row r="877" spans="1:3" x14ac:dyDescent="0.35">
      <c r="A877" s="1">
        <v>830</v>
      </c>
      <c r="B877" s="1" t="s">
        <v>25</v>
      </c>
      <c r="C877" s="1">
        <v>0</v>
      </c>
    </row>
    <row r="878" spans="1:3" x14ac:dyDescent="0.35">
      <c r="A878" s="1">
        <v>831</v>
      </c>
      <c r="B878" s="1" t="s">
        <v>25</v>
      </c>
      <c r="C878" s="1">
        <v>0</v>
      </c>
    </row>
    <row r="879" spans="1:3" x14ac:dyDescent="0.35">
      <c r="A879" s="1">
        <v>832</v>
      </c>
      <c r="B879" s="1" t="s">
        <v>25</v>
      </c>
      <c r="C879" s="1">
        <v>0</v>
      </c>
    </row>
    <row r="880" spans="1:3" x14ac:dyDescent="0.35">
      <c r="A880" s="1">
        <v>833</v>
      </c>
      <c r="B880" s="1" t="s">
        <v>25</v>
      </c>
      <c r="C880" s="1">
        <v>0</v>
      </c>
    </row>
    <row r="881" spans="1:3" x14ac:dyDescent="0.35">
      <c r="A881" s="1">
        <v>834</v>
      </c>
      <c r="B881" s="1" t="s">
        <v>25</v>
      </c>
      <c r="C881" s="1">
        <v>0</v>
      </c>
    </row>
    <row r="882" spans="1:3" x14ac:dyDescent="0.35">
      <c r="A882" s="1">
        <v>835</v>
      </c>
      <c r="B882" s="1" t="s">
        <v>25</v>
      </c>
      <c r="C882" s="1">
        <v>0</v>
      </c>
    </row>
    <row r="883" spans="1:3" x14ac:dyDescent="0.35">
      <c r="A883" s="1">
        <v>836</v>
      </c>
      <c r="B883" s="1" t="s">
        <v>25</v>
      </c>
      <c r="C883" s="1">
        <v>0</v>
      </c>
    </row>
    <row r="884" spans="1:3" x14ac:dyDescent="0.35">
      <c r="A884" s="1">
        <v>837</v>
      </c>
      <c r="B884" s="1" t="s">
        <v>25</v>
      </c>
      <c r="C884" s="1">
        <v>0</v>
      </c>
    </row>
    <row r="885" spans="1:3" x14ac:dyDescent="0.35">
      <c r="A885" s="1">
        <v>838</v>
      </c>
      <c r="B885" s="1" t="s">
        <v>25</v>
      </c>
      <c r="C885" s="1">
        <v>0</v>
      </c>
    </row>
    <row r="886" spans="1:3" x14ac:dyDescent="0.35">
      <c r="A886" s="1">
        <v>839</v>
      </c>
      <c r="B886" s="1" t="s">
        <v>25</v>
      </c>
      <c r="C886" s="1">
        <v>0</v>
      </c>
    </row>
    <row r="887" spans="1:3" x14ac:dyDescent="0.35">
      <c r="A887" s="1">
        <v>840</v>
      </c>
      <c r="B887" s="1" t="s">
        <v>25</v>
      </c>
      <c r="C887" s="1">
        <v>0</v>
      </c>
    </row>
    <row r="888" spans="1:3" x14ac:dyDescent="0.35">
      <c r="A888" s="1">
        <v>841</v>
      </c>
      <c r="B888" s="1" t="s">
        <v>25</v>
      </c>
      <c r="C888" s="1">
        <v>0</v>
      </c>
    </row>
    <row r="889" spans="1:3" x14ac:dyDescent="0.35">
      <c r="A889" s="1">
        <v>842</v>
      </c>
      <c r="B889" s="1" t="s">
        <v>25</v>
      </c>
      <c r="C889" s="1">
        <v>0</v>
      </c>
    </row>
    <row r="890" spans="1:3" x14ac:dyDescent="0.35">
      <c r="A890" s="1">
        <v>843</v>
      </c>
      <c r="B890" s="1" t="s">
        <v>25</v>
      </c>
      <c r="C890" s="1">
        <v>0</v>
      </c>
    </row>
    <row r="891" spans="1:3" x14ac:dyDescent="0.35">
      <c r="A891" s="1">
        <v>844</v>
      </c>
      <c r="B891" s="1" t="s">
        <v>25</v>
      </c>
      <c r="C891" s="1">
        <v>0</v>
      </c>
    </row>
    <row r="892" spans="1:3" x14ac:dyDescent="0.35">
      <c r="A892" s="1">
        <v>845</v>
      </c>
      <c r="B892" s="1" t="s">
        <v>25</v>
      </c>
      <c r="C892" s="1">
        <v>0</v>
      </c>
    </row>
    <row r="893" spans="1:3" x14ac:dyDescent="0.35">
      <c r="A893" s="1">
        <v>846</v>
      </c>
      <c r="B893" s="1" t="s">
        <v>25</v>
      </c>
      <c r="C893" s="1">
        <v>0</v>
      </c>
    </row>
    <row r="894" spans="1:3" x14ac:dyDescent="0.35">
      <c r="A894" s="1">
        <v>847</v>
      </c>
      <c r="B894" s="1" t="s">
        <v>25</v>
      </c>
      <c r="C894" s="1">
        <v>0</v>
      </c>
    </row>
    <row r="895" spans="1:3" x14ac:dyDescent="0.35">
      <c r="A895" s="1">
        <v>848</v>
      </c>
      <c r="B895" s="1" t="s">
        <v>25</v>
      </c>
      <c r="C895" s="1">
        <v>0</v>
      </c>
    </row>
    <row r="896" spans="1:3" x14ac:dyDescent="0.35">
      <c r="A896" s="1">
        <v>849</v>
      </c>
      <c r="B896" s="1" t="s">
        <v>25</v>
      </c>
      <c r="C896" s="1">
        <v>0</v>
      </c>
    </row>
    <row r="897" spans="1:3" x14ac:dyDescent="0.35">
      <c r="A897" s="1">
        <v>850</v>
      </c>
      <c r="B897" s="1" t="s">
        <v>25</v>
      </c>
      <c r="C897" s="1">
        <v>0</v>
      </c>
    </row>
    <row r="898" spans="1:3" x14ac:dyDescent="0.35">
      <c r="A898" s="1">
        <v>851</v>
      </c>
      <c r="B898" s="1" t="s">
        <v>25</v>
      </c>
      <c r="C898" s="1">
        <v>0</v>
      </c>
    </row>
    <row r="899" spans="1:3" x14ac:dyDescent="0.35">
      <c r="A899" s="1">
        <v>852</v>
      </c>
      <c r="B899" s="1" t="s">
        <v>25</v>
      </c>
      <c r="C899" s="1">
        <v>0</v>
      </c>
    </row>
    <row r="900" spans="1:3" x14ac:dyDescent="0.35">
      <c r="A900" s="1">
        <v>853</v>
      </c>
      <c r="B900" s="1" t="s">
        <v>25</v>
      </c>
      <c r="C900" s="1">
        <v>0</v>
      </c>
    </row>
    <row r="901" spans="1:3" x14ac:dyDescent="0.35">
      <c r="A901" s="1">
        <v>854</v>
      </c>
      <c r="B901" s="1" t="s">
        <v>25</v>
      </c>
      <c r="C901" s="1">
        <v>0</v>
      </c>
    </row>
    <row r="902" spans="1:3" x14ac:dyDescent="0.35">
      <c r="A902" s="1">
        <v>855</v>
      </c>
      <c r="B902" s="1" t="s">
        <v>25</v>
      </c>
      <c r="C902" s="1">
        <v>0</v>
      </c>
    </row>
    <row r="903" spans="1:3" x14ac:dyDescent="0.35">
      <c r="A903" s="1">
        <v>856</v>
      </c>
      <c r="B903" s="1" t="s">
        <v>25</v>
      </c>
      <c r="C903" s="1">
        <v>0</v>
      </c>
    </row>
    <row r="904" spans="1:3" x14ac:dyDescent="0.35">
      <c r="A904" s="1">
        <v>857</v>
      </c>
      <c r="B904" s="1" t="s">
        <v>25</v>
      </c>
      <c r="C904" s="1">
        <v>0</v>
      </c>
    </row>
    <row r="905" spans="1:3" x14ac:dyDescent="0.35">
      <c r="A905" s="1">
        <v>858</v>
      </c>
      <c r="B905" s="1" t="s">
        <v>25</v>
      </c>
      <c r="C905" s="1">
        <v>0</v>
      </c>
    </row>
    <row r="906" spans="1:3" x14ac:dyDescent="0.35">
      <c r="A906" s="1">
        <v>859</v>
      </c>
      <c r="B906" s="1" t="s">
        <v>25</v>
      </c>
      <c r="C906" s="1">
        <v>0</v>
      </c>
    </row>
    <row r="907" spans="1:3" x14ac:dyDescent="0.35">
      <c r="A907" s="1">
        <v>860</v>
      </c>
      <c r="B907" s="1" t="s">
        <v>25</v>
      </c>
      <c r="C907" s="1">
        <v>0</v>
      </c>
    </row>
    <row r="908" spans="1:3" x14ac:dyDescent="0.35">
      <c r="A908" s="1">
        <v>861</v>
      </c>
      <c r="B908" s="1" t="s">
        <v>25</v>
      </c>
      <c r="C908" s="1">
        <v>0</v>
      </c>
    </row>
    <row r="909" spans="1:3" x14ac:dyDescent="0.35">
      <c r="A909" s="1">
        <v>862</v>
      </c>
      <c r="B909" s="1" t="s">
        <v>25</v>
      </c>
      <c r="C909" s="1">
        <v>0</v>
      </c>
    </row>
    <row r="910" spans="1:3" x14ac:dyDescent="0.35">
      <c r="A910" s="1">
        <v>863</v>
      </c>
      <c r="B910" s="1" t="s">
        <v>25</v>
      </c>
      <c r="C910" s="1">
        <v>0</v>
      </c>
    </row>
    <row r="911" spans="1:3" x14ac:dyDescent="0.35">
      <c r="A911" s="1">
        <v>864</v>
      </c>
      <c r="B911" s="1" t="s">
        <v>25</v>
      </c>
      <c r="C911" s="1">
        <v>0</v>
      </c>
    </row>
    <row r="912" spans="1:3" x14ac:dyDescent="0.35">
      <c r="A912" s="1">
        <v>865</v>
      </c>
      <c r="B912" s="1" t="s">
        <v>25</v>
      </c>
      <c r="C912" s="1">
        <v>0</v>
      </c>
    </row>
    <row r="913" spans="1:3" x14ac:dyDescent="0.35">
      <c r="A913" s="1">
        <v>866</v>
      </c>
      <c r="B913" s="1" t="s">
        <v>25</v>
      </c>
      <c r="C913" s="1">
        <v>0</v>
      </c>
    </row>
    <row r="914" spans="1:3" x14ac:dyDescent="0.35">
      <c r="A914" s="1">
        <v>867</v>
      </c>
      <c r="B914" s="1" t="s">
        <v>25</v>
      </c>
      <c r="C914" s="1">
        <v>0</v>
      </c>
    </row>
    <row r="915" spans="1:3" x14ac:dyDescent="0.35">
      <c r="A915" s="1">
        <v>868</v>
      </c>
      <c r="B915" s="1" t="s">
        <v>25</v>
      </c>
      <c r="C915" s="1">
        <v>0</v>
      </c>
    </row>
    <row r="916" spans="1:3" x14ac:dyDescent="0.35">
      <c r="A916" s="1">
        <v>869</v>
      </c>
      <c r="B916" s="1" t="s">
        <v>25</v>
      </c>
      <c r="C916" s="1">
        <v>0</v>
      </c>
    </row>
    <row r="917" spans="1:3" x14ac:dyDescent="0.35">
      <c r="A917" s="1">
        <v>870</v>
      </c>
      <c r="B917" s="1" t="s">
        <v>25</v>
      </c>
      <c r="C917" s="1">
        <v>0</v>
      </c>
    </row>
    <row r="918" spans="1:3" x14ac:dyDescent="0.35">
      <c r="A918" s="1">
        <v>871</v>
      </c>
      <c r="B918" s="1" t="s">
        <v>25</v>
      </c>
      <c r="C918" s="1">
        <v>0</v>
      </c>
    </row>
    <row r="919" spans="1:3" x14ac:dyDescent="0.35">
      <c r="A919" s="1">
        <v>872</v>
      </c>
      <c r="B919" s="1" t="s">
        <v>25</v>
      </c>
      <c r="C919" s="1">
        <v>0</v>
      </c>
    </row>
    <row r="920" spans="1:3" x14ac:dyDescent="0.35">
      <c r="A920" s="1">
        <v>873</v>
      </c>
      <c r="B920" s="1" t="s">
        <v>25</v>
      </c>
      <c r="C920" s="1">
        <v>0</v>
      </c>
    </row>
    <row r="921" spans="1:3" x14ac:dyDescent="0.35">
      <c r="A921" s="1">
        <v>874</v>
      </c>
      <c r="B921" s="1" t="s">
        <v>25</v>
      </c>
      <c r="C921" s="1">
        <v>0</v>
      </c>
    </row>
    <row r="922" spans="1:3" x14ac:dyDescent="0.35">
      <c r="A922" s="1">
        <v>875</v>
      </c>
      <c r="B922" s="1" t="s">
        <v>25</v>
      </c>
      <c r="C922" s="1">
        <v>0</v>
      </c>
    </row>
    <row r="923" spans="1:3" x14ac:dyDescent="0.35">
      <c r="A923" s="1">
        <v>876</v>
      </c>
      <c r="B923" s="1" t="s">
        <v>25</v>
      </c>
      <c r="C923" s="1">
        <v>0</v>
      </c>
    </row>
    <row r="924" spans="1:3" x14ac:dyDescent="0.35">
      <c r="A924" s="1">
        <v>877</v>
      </c>
      <c r="B924" s="1" t="s">
        <v>25</v>
      </c>
      <c r="C924" s="1">
        <v>0</v>
      </c>
    </row>
    <row r="925" spans="1:3" x14ac:dyDescent="0.35">
      <c r="A925" s="1">
        <v>878</v>
      </c>
      <c r="B925" s="1" t="s">
        <v>25</v>
      </c>
      <c r="C925" s="1">
        <v>0</v>
      </c>
    </row>
    <row r="926" spans="1:3" x14ac:dyDescent="0.35">
      <c r="A926" s="1">
        <v>879</v>
      </c>
      <c r="B926" s="1" t="s">
        <v>25</v>
      </c>
      <c r="C926" s="1">
        <v>0</v>
      </c>
    </row>
    <row r="927" spans="1:3" x14ac:dyDescent="0.35">
      <c r="A927" s="1">
        <v>880</v>
      </c>
      <c r="B927" s="1" t="s">
        <v>25</v>
      </c>
      <c r="C927" s="1">
        <v>0</v>
      </c>
    </row>
    <row r="928" spans="1:3" x14ac:dyDescent="0.35">
      <c r="A928" s="1">
        <v>881</v>
      </c>
      <c r="B928" s="1" t="s">
        <v>25</v>
      </c>
      <c r="C928" s="1">
        <v>0</v>
      </c>
    </row>
    <row r="929" spans="1:3" x14ac:dyDescent="0.35">
      <c r="A929" s="1">
        <v>882</v>
      </c>
      <c r="B929" s="1" t="s">
        <v>25</v>
      </c>
      <c r="C929" s="1">
        <v>0</v>
      </c>
    </row>
    <row r="930" spans="1:3" x14ac:dyDescent="0.35">
      <c r="A930" s="1">
        <v>883</v>
      </c>
      <c r="B930" s="1" t="s">
        <v>25</v>
      </c>
      <c r="C930" s="1">
        <v>0</v>
      </c>
    </row>
    <row r="931" spans="1:3" x14ac:dyDescent="0.35">
      <c r="A931" s="1">
        <v>884</v>
      </c>
      <c r="B931" s="1" t="s">
        <v>25</v>
      </c>
      <c r="C931" s="1">
        <v>0</v>
      </c>
    </row>
    <row r="932" spans="1:3" x14ac:dyDescent="0.35">
      <c r="A932" s="1">
        <v>885</v>
      </c>
      <c r="B932" s="1" t="s">
        <v>25</v>
      </c>
      <c r="C932" s="1">
        <v>0</v>
      </c>
    </row>
    <row r="933" spans="1:3" x14ac:dyDescent="0.35">
      <c r="A933" s="1">
        <v>886</v>
      </c>
      <c r="B933" s="1" t="s">
        <v>25</v>
      </c>
      <c r="C933" s="1">
        <v>0</v>
      </c>
    </row>
    <row r="934" spans="1:3" x14ac:dyDescent="0.35">
      <c r="A934" s="1">
        <v>887</v>
      </c>
      <c r="B934" s="1" t="s">
        <v>25</v>
      </c>
      <c r="C934" s="1">
        <v>0</v>
      </c>
    </row>
    <row r="935" spans="1:3" x14ac:dyDescent="0.35">
      <c r="A935" s="1">
        <v>888</v>
      </c>
      <c r="B935" s="1" t="s">
        <v>25</v>
      </c>
      <c r="C935" s="1">
        <v>0</v>
      </c>
    </row>
    <row r="936" spans="1:3" x14ac:dyDescent="0.35">
      <c r="A936" s="1">
        <v>889</v>
      </c>
      <c r="B936" s="1" t="s">
        <v>25</v>
      </c>
      <c r="C936" s="1">
        <v>0</v>
      </c>
    </row>
    <row r="937" spans="1:3" x14ac:dyDescent="0.35">
      <c r="A937" s="1">
        <v>890</v>
      </c>
      <c r="B937" s="1" t="s">
        <v>25</v>
      </c>
      <c r="C937" s="1">
        <v>0</v>
      </c>
    </row>
    <row r="938" spans="1:3" x14ac:dyDescent="0.35">
      <c r="A938" s="1">
        <v>891</v>
      </c>
      <c r="B938" s="1" t="s">
        <v>25</v>
      </c>
      <c r="C938" s="1">
        <v>0</v>
      </c>
    </row>
    <row r="939" spans="1:3" x14ac:dyDescent="0.35">
      <c r="A939" s="1">
        <v>892</v>
      </c>
      <c r="B939" s="1" t="s">
        <v>25</v>
      </c>
      <c r="C939" s="1">
        <v>0</v>
      </c>
    </row>
    <row r="940" spans="1:3" x14ac:dyDescent="0.35">
      <c r="A940" s="1">
        <v>893</v>
      </c>
      <c r="B940" s="1" t="s">
        <v>25</v>
      </c>
      <c r="C940" s="1">
        <v>0</v>
      </c>
    </row>
    <row r="941" spans="1:3" x14ac:dyDescent="0.35">
      <c r="A941" s="1">
        <v>894</v>
      </c>
      <c r="B941" s="1" t="s">
        <v>25</v>
      </c>
      <c r="C941" s="1">
        <v>0</v>
      </c>
    </row>
    <row r="942" spans="1:3" x14ac:dyDescent="0.35">
      <c r="A942" s="1">
        <v>895</v>
      </c>
      <c r="B942" s="1" t="s">
        <v>25</v>
      </c>
      <c r="C942" s="1">
        <v>0</v>
      </c>
    </row>
    <row r="943" spans="1:3" x14ac:dyDescent="0.35">
      <c r="A943" s="1">
        <v>896</v>
      </c>
      <c r="B943" s="1" t="s">
        <v>25</v>
      </c>
      <c r="C943" s="1">
        <v>0</v>
      </c>
    </row>
    <row r="944" spans="1:3" x14ac:dyDescent="0.35">
      <c r="A944" s="1">
        <v>897</v>
      </c>
      <c r="B944" s="1" t="s">
        <v>25</v>
      </c>
      <c r="C944" s="1">
        <v>0</v>
      </c>
    </row>
    <row r="945" spans="1:3" x14ac:dyDescent="0.35">
      <c r="A945" s="1">
        <v>898</v>
      </c>
      <c r="B945" s="1" t="s">
        <v>25</v>
      </c>
      <c r="C945" s="1">
        <v>0</v>
      </c>
    </row>
    <row r="946" spans="1:3" x14ac:dyDescent="0.35">
      <c r="A946" s="1">
        <v>899</v>
      </c>
      <c r="B946" s="1" t="s">
        <v>25</v>
      </c>
      <c r="C946" s="1">
        <v>0</v>
      </c>
    </row>
    <row r="947" spans="1:3" x14ac:dyDescent="0.35">
      <c r="A947" s="1">
        <v>900</v>
      </c>
      <c r="B947" s="1" t="s">
        <v>25</v>
      </c>
      <c r="C947" s="1">
        <v>0</v>
      </c>
    </row>
    <row r="948" spans="1:3" x14ac:dyDescent="0.35">
      <c r="A948" s="1">
        <v>901</v>
      </c>
      <c r="B948" s="1" t="s">
        <v>25</v>
      </c>
      <c r="C948" s="1">
        <v>0</v>
      </c>
    </row>
    <row r="949" spans="1:3" x14ac:dyDescent="0.35">
      <c r="A949" s="1">
        <v>902</v>
      </c>
      <c r="B949" s="1" t="s">
        <v>25</v>
      </c>
      <c r="C949" s="1">
        <v>0</v>
      </c>
    </row>
    <row r="950" spans="1:3" x14ac:dyDescent="0.35">
      <c r="A950" s="1">
        <v>903</v>
      </c>
      <c r="B950" s="1" t="s">
        <v>25</v>
      </c>
      <c r="C950" s="1">
        <v>0</v>
      </c>
    </row>
    <row r="951" spans="1:3" x14ac:dyDescent="0.35">
      <c r="A951" s="1">
        <v>904</v>
      </c>
      <c r="B951" s="1" t="s">
        <v>25</v>
      </c>
      <c r="C951" s="1">
        <v>0</v>
      </c>
    </row>
    <row r="952" spans="1:3" x14ac:dyDescent="0.35">
      <c r="A952" s="1">
        <v>905</v>
      </c>
      <c r="B952" s="1" t="s">
        <v>25</v>
      </c>
      <c r="C952" s="1">
        <v>0</v>
      </c>
    </row>
    <row r="953" spans="1:3" x14ac:dyDescent="0.35">
      <c r="A953" s="1">
        <v>906</v>
      </c>
      <c r="B953" s="1" t="s">
        <v>25</v>
      </c>
      <c r="C953" s="1">
        <v>0</v>
      </c>
    </row>
    <row r="954" spans="1:3" x14ac:dyDescent="0.35">
      <c r="A954" s="1">
        <v>907</v>
      </c>
      <c r="B954" s="1" t="s">
        <v>25</v>
      </c>
      <c r="C954" s="1">
        <v>0</v>
      </c>
    </row>
    <row r="955" spans="1:3" x14ac:dyDescent="0.35">
      <c r="A955" s="1">
        <v>908</v>
      </c>
      <c r="B955" s="1" t="s">
        <v>25</v>
      </c>
      <c r="C955" s="1">
        <v>0</v>
      </c>
    </row>
    <row r="956" spans="1:3" x14ac:dyDescent="0.35">
      <c r="A956" s="1">
        <v>909</v>
      </c>
      <c r="B956" s="1" t="s">
        <v>25</v>
      </c>
      <c r="C956" s="1">
        <v>0</v>
      </c>
    </row>
    <row r="957" spans="1:3" x14ac:dyDescent="0.35">
      <c r="A957" s="1">
        <v>910</v>
      </c>
      <c r="B957" s="1" t="s">
        <v>25</v>
      </c>
      <c r="C957" s="1">
        <v>0</v>
      </c>
    </row>
    <row r="958" spans="1:3" x14ac:dyDescent="0.35">
      <c r="A958" s="1">
        <v>911</v>
      </c>
      <c r="B958" s="1" t="s">
        <v>25</v>
      </c>
      <c r="C958" s="1">
        <v>0</v>
      </c>
    </row>
    <row r="959" spans="1:3" x14ac:dyDescent="0.35">
      <c r="A959" s="1">
        <v>912</v>
      </c>
      <c r="B959" s="1" t="s">
        <v>25</v>
      </c>
      <c r="C959" s="1">
        <v>0</v>
      </c>
    </row>
    <row r="960" spans="1:3" x14ac:dyDescent="0.35">
      <c r="A960" s="1">
        <v>913</v>
      </c>
      <c r="B960" s="1" t="s">
        <v>25</v>
      </c>
      <c r="C960" s="1">
        <v>0</v>
      </c>
    </row>
    <row r="961" spans="1:3" x14ac:dyDescent="0.35">
      <c r="A961" s="1">
        <v>914</v>
      </c>
      <c r="B961" s="1" t="s">
        <v>25</v>
      </c>
      <c r="C961" s="1">
        <v>0</v>
      </c>
    </row>
    <row r="962" spans="1:3" x14ac:dyDescent="0.35">
      <c r="A962" s="1">
        <v>915</v>
      </c>
      <c r="B962" s="1" t="s">
        <v>25</v>
      </c>
      <c r="C962" s="1">
        <v>0</v>
      </c>
    </row>
    <row r="963" spans="1:3" x14ac:dyDescent="0.35">
      <c r="A963" s="1">
        <v>916</v>
      </c>
      <c r="B963" s="1" t="s">
        <v>25</v>
      </c>
      <c r="C963" s="1">
        <v>0</v>
      </c>
    </row>
    <row r="964" spans="1:3" x14ac:dyDescent="0.35">
      <c r="A964" s="1">
        <v>917</v>
      </c>
      <c r="B964" s="1" t="s">
        <v>25</v>
      </c>
      <c r="C964" s="1">
        <v>0</v>
      </c>
    </row>
    <row r="965" spans="1:3" x14ac:dyDescent="0.35">
      <c r="A965" s="1">
        <v>918</v>
      </c>
      <c r="B965" s="1" t="s">
        <v>25</v>
      </c>
      <c r="C965" s="1">
        <v>0</v>
      </c>
    </row>
    <row r="966" spans="1:3" x14ac:dyDescent="0.35">
      <c r="A966" s="1">
        <v>919</v>
      </c>
      <c r="B966" s="1" t="s">
        <v>25</v>
      </c>
      <c r="C966" s="1">
        <v>0</v>
      </c>
    </row>
    <row r="967" spans="1:3" x14ac:dyDescent="0.35">
      <c r="A967" s="1">
        <v>920</v>
      </c>
      <c r="B967" s="1" t="s">
        <v>25</v>
      </c>
      <c r="C967" s="1">
        <v>0</v>
      </c>
    </row>
    <row r="968" spans="1:3" x14ac:dyDescent="0.35">
      <c r="A968" s="1">
        <v>921</v>
      </c>
      <c r="B968" s="1" t="s">
        <v>25</v>
      </c>
      <c r="C968" s="1">
        <v>0</v>
      </c>
    </row>
    <row r="969" spans="1:3" x14ac:dyDescent="0.35">
      <c r="A969" s="1">
        <v>922</v>
      </c>
      <c r="B969" s="1" t="s">
        <v>25</v>
      </c>
      <c r="C969" s="1">
        <v>0</v>
      </c>
    </row>
    <row r="970" spans="1:3" x14ac:dyDescent="0.35">
      <c r="A970" s="1">
        <v>923</v>
      </c>
      <c r="B970" s="1" t="s">
        <v>25</v>
      </c>
      <c r="C970" s="1">
        <v>0</v>
      </c>
    </row>
    <row r="971" spans="1:3" x14ac:dyDescent="0.35">
      <c r="A971" s="1">
        <v>924</v>
      </c>
      <c r="B971" s="1" t="s">
        <v>25</v>
      </c>
      <c r="C971" s="1">
        <v>0</v>
      </c>
    </row>
    <row r="972" spans="1:3" x14ac:dyDescent="0.35">
      <c r="A972" s="1">
        <v>925</v>
      </c>
      <c r="B972" s="1" t="s">
        <v>25</v>
      </c>
      <c r="C972" s="1">
        <v>0</v>
      </c>
    </row>
    <row r="973" spans="1:3" x14ac:dyDescent="0.35">
      <c r="A973" s="1">
        <v>926</v>
      </c>
      <c r="B973" s="1" t="s">
        <v>25</v>
      </c>
      <c r="C973" s="1">
        <v>0</v>
      </c>
    </row>
    <row r="974" spans="1:3" x14ac:dyDescent="0.35">
      <c r="A974" s="1">
        <v>927</v>
      </c>
      <c r="B974" s="1" t="s">
        <v>25</v>
      </c>
      <c r="C974" s="1">
        <v>0</v>
      </c>
    </row>
    <row r="975" spans="1:3" x14ac:dyDescent="0.35">
      <c r="A975" s="1">
        <v>928</v>
      </c>
      <c r="B975" s="1" t="s">
        <v>25</v>
      </c>
      <c r="C975" s="1">
        <v>0</v>
      </c>
    </row>
    <row r="976" spans="1:3" x14ac:dyDescent="0.35">
      <c r="A976" s="1">
        <v>929</v>
      </c>
      <c r="B976" s="1" t="s">
        <v>25</v>
      </c>
      <c r="C976" s="1">
        <v>0</v>
      </c>
    </row>
    <row r="977" spans="1:3" x14ac:dyDescent="0.35">
      <c r="A977" s="1">
        <v>930</v>
      </c>
      <c r="B977" s="1" t="s">
        <v>25</v>
      </c>
      <c r="C977" s="1">
        <v>0</v>
      </c>
    </row>
    <row r="978" spans="1:3" x14ac:dyDescent="0.35">
      <c r="A978" s="1">
        <v>931</v>
      </c>
      <c r="B978" s="1" t="s">
        <v>25</v>
      </c>
      <c r="C978" s="1">
        <v>0</v>
      </c>
    </row>
    <row r="979" spans="1:3" x14ac:dyDescent="0.35">
      <c r="A979" s="1">
        <v>932</v>
      </c>
      <c r="B979" s="1" t="s">
        <v>25</v>
      </c>
      <c r="C979" s="1">
        <v>0</v>
      </c>
    </row>
    <row r="980" spans="1:3" x14ac:dyDescent="0.35">
      <c r="A980" s="1">
        <v>933</v>
      </c>
      <c r="B980" s="1" t="s">
        <v>25</v>
      </c>
      <c r="C980" s="1">
        <v>0</v>
      </c>
    </row>
    <row r="981" spans="1:3" x14ac:dyDescent="0.35">
      <c r="A981" s="1">
        <v>934</v>
      </c>
      <c r="B981" s="1" t="s">
        <v>25</v>
      </c>
      <c r="C981" s="1">
        <v>0</v>
      </c>
    </row>
    <row r="982" spans="1:3" x14ac:dyDescent="0.35">
      <c r="A982" s="1">
        <v>935</v>
      </c>
      <c r="B982" s="1" t="s">
        <v>25</v>
      </c>
      <c r="C982" s="1">
        <v>0</v>
      </c>
    </row>
    <row r="983" spans="1:3" x14ac:dyDescent="0.35">
      <c r="A983" s="1">
        <v>936</v>
      </c>
      <c r="B983" s="1" t="s">
        <v>25</v>
      </c>
      <c r="C983" s="1">
        <v>0</v>
      </c>
    </row>
    <row r="984" spans="1:3" x14ac:dyDescent="0.35">
      <c r="A984" s="1">
        <v>937</v>
      </c>
      <c r="B984" s="1" t="s">
        <v>25</v>
      </c>
      <c r="C984" s="1">
        <v>0</v>
      </c>
    </row>
    <row r="985" spans="1:3" x14ac:dyDescent="0.35">
      <c r="A985" s="1">
        <v>938</v>
      </c>
      <c r="B985" s="1" t="s">
        <v>25</v>
      </c>
      <c r="C985" s="1">
        <v>0</v>
      </c>
    </row>
    <row r="986" spans="1:3" x14ac:dyDescent="0.35">
      <c r="A986" s="1">
        <v>939</v>
      </c>
      <c r="B986" s="1" t="s">
        <v>25</v>
      </c>
      <c r="C986" s="1">
        <v>0</v>
      </c>
    </row>
    <row r="987" spans="1:3" x14ac:dyDescent="0.35">
      <c r="A987" s="1">
        <v>940</v>
      </c>
      <c r="B987" s="1" t="s">
        <v>25</v>
      </c>
      <c r="C987" s="1">
        <v>0</v>
      </c>
    </row>
    <row r="988" spans="1:3" x14ac:dyDescent="0.35">
      <c r="A988" s="1">
        <v>941</v>
      </c>
      <c r="B988" s="1" t="s">
        <v>25</v>
      </c>
      <c r="C988" s="1">
        <v>0</v>
      </c>
    </row>
    <row r="989" spans="1:3" x14ac:dyDescent="0.35">
      <c r="A989" s="1">
        <v>942</v>
      </c>
      <c r="B989" s="1" t="s">
        <v>25</v>
      </c>
      <c r="C989" s="1">
        <v>0</v>
      </c>
    </row>
    <row r="990" spans="1:3" x14ac:dyDescent="0.35">
      <c r="A990" s="1">
        <v>943</v>
      </c>
      <c r="B990" s="1" t="s">
        <v>25</v>
      </c>
      <c r="C990" s="1">
        <v>0</v>
      </c>
    </row>
    <row r="991" spans="1:3" x14ac:dyDescent="0.35">
      <c r="A991" s="1">
        <v>944</v>
      </c>
      <c r="B991" s="1" t="s">
        <v>25</v>
      </c>
      <c r="C991" s="1">
        <v>0</v>
      </c>
    </row>
    <row r="992" spans="1:3" x14ac:dyDescent="0.35">
      <c r="A992" s="1">
        <v>945</v>
      </c>
      <c r="B992" s="1" t="s">
        <v>25</v>
      </c>
      <c r="C992" s="1">
        <v>0</v>
      </c>
    </row>
    <row r="993" spans="1:3" x14ac:dyDescent="0.35">
      <c r="A993" s="1">
        <v>946</v>
      </c>
      <c r="B993" s="1" t="s">
        <v>25</v>
      </c>
      <c r="C993" s="1">
        <v>0</v>
      </c>
    </row>
    <row r="994" spans="1:3" x14ac:dyDescent="0.35">
      <c r="A994" s="1">
        <v>947</v>
      </c>
      <c r="B994" s="1" t="s">
        <v>25</v>
      </c>
      <c r="C994" s="1">
        <v>0</v>
      </c>
    </row>
    <row r="995" spans="1:3" x14ac:dyDescent="0.35">
      <c r="A995" s="1">
        <v>948</v>
      </c>
      <c r="B995" s="1" t="s">
        <v>25</v>
      </c>
      <c r="C995" s="1">
        <v>0</v>
      </c>
    </row>
    <row r="996" spans="1:3" x14ac:dyDescent="0.35">
      <c r="A996" s="1">
        <v>949</v>
      </c>
      <c r="B996" s="1" t="s">
        <v>25</v>
      </c>
      <c r="C996" s="1">
        <v>0</v>
      </c>
    </row>
    <row r="997" spans="1:3" x14ac:dyDescent="0.35">
      <c r="A997" s="1">
        <v>950</v>
      </c>
      <c r="B997" s="1" t="s">
        <v>25</v>
      </c>
      <c r="C997" s="1">
        <v>0</v>
      </c>
    </row>
    <row r="998" spans="1:3" x14ac:dyDescent="0.35">
      <c r="A998" s="1">
        <v>951</v>
      </c>
      <c r="B998" s="1" t="s">
        <v>25</v>
      </c>
      <c r="C998" s="1">
        <v>0</v>
      </c>
    </row>
    <row r="999" spans="1:3" x14ac:dyDescent="0.35">
      <c r="A999" s="1">
        <v>952</v>
      </c>
      <c r="B999" s="1" t="s">
        <v>25</v>
      </c>
      <c r="C999" s="1">
        <v>0</v>
      </c>
    </row>
    <row r="1000" spans="1:3" x14ac:dyDescent="0.35">
      <c r="A1000" s="1">
        <v>953</v>
      </c>
      <c r="B1000" s="1" t="s">
        <v>25</v>
      </c>
      <c r="C1000" s="1">
        <v>0</v>
      </c>
    </row>
    <row r="1001" spans="1:3" x14ac:dyDescent="0.35">
      <c r="A1001" s="1">
        <v>954</v>
      </c>
      <c r="B1001" s="1" t="s">
        <v>25</v>
      </c>
      <c r="C1001" s="1">
        <v>0</v>
      </c>
    </row>
    <row r="1002" spans="1:3" x14ac:dyDescent="0.35">
      <c r="A1002" s="1">
        <v>955</v>
      </c>
      <c r="B1002" s="1" t="s">
        <v>25</v>
      </c>
      <c r="C1002" s="1">
        <v>0</v>
      </c>
    </row>
    <row r="1003" spans="1:3" x14ac:dyDescent="0.35">
      <c r="A1003" s="1">
        <v>956</v>
      </c>
      <c r="B1003" s="1" t="s">
        <v>25</v>
      </c>
      <c r="C1003" s="1">
        <v>0</v>
      </c>
    </row>
    <row r="1004" spans="1:3" x14ac:dyDescent="0.35">
      <c r="A1004" s="1">
        <v>957</v>
      </c>
      <c r="B1004" s="1" t="s">
        <v>25</v>
      </c>
      <c r="C1004" s="1">
        <v>0</v>
      </c>
    </row>
    <row r="1005" spans="1:3" x14ac:dyDescent="0.35">
      <c r="A1005" s="1">
        <v>958</v>
      </c>
      <c r="B1005" s="1" t="s">
        <v>25</v>
      </c>
      <c r="C1005" s="1">
        <v>0</v>
      </c>
    </row>
    <row r="1006" spans="1:3" x14ac:dyDescent="0.35">
      <c r="A1006" s="1">
        <v>959</v>
      </c>
      <c r="B1006" s="1" t="s">
        <v>25</v>
      </c>
      <c r="C1006" s="1">
        <v>0</v>
      </c>
    </row>
    <row r="1007" spans="1:3" x14ac:dyDescent="0.35">
      <c r="A1007" s="1">
        <v>960</v>
      </c>
      <c r="B1007" s="1" t="s">
        <v>25</v>
      </c>
      <c r="C1007" s="1">
        <v>0</v>
      </c>
    </row>
    <row r="1008" spans="1:3" x14ac:dyDescent="0.35">
      <c r="A1008" s="1">
        <v>961</v>
      </c>
      <c r="B1008" s="1" t="s">
        <v>25</v>
      </c>
      <c r="C1008" s="1">
        <v>0</v>
      </c>
    </row>
    <row r="1009" spans="1:3" x14ac:dyDescent="0.35">
      <c r="A1009" s="1">
        <v>962</v>
      </c>
      <c r="B1009" s="1" t="s">
        <v>25</v>
      </c>
      <c r="C1009" s="1">
        <v>0</v>
      </c>
    </row>
    <row r="1010" spans="1:3" x14ac:dyDescent="0.35">
      <c r="A1010" s="1">
        <v>963</v>
      </c>
      <c r="B1010" s="1" t="s">
        <v>25</v>
      </c>
      <c r="C1010" s="1">
        <v>0</v>
      </c>
    </row>
    <row r="1011" spans="1:3" x14ac:dyDescent="0.35">
      <c r="A1011" s="1">
        <v>964</v>
      </c>
      <c r="B1011" s="1" t="s">
        <v>25</v>
      </c>
      <c r="C1011" s="1">
        <v>0</v>
      </c>
    </row>
    <row r="1012" spans="1:3" x14ac:dyDescent="0.35">
      <c r="A1012" s="1">
        <v>965</v>
      </c>
      <c r="B1012" s="1" t="s">
        <v>25</v>
      </c>
      <c r="C1012" s="1">
        <v>0</v>
      </c>
    </row>
    <row r="1013" spans="1:3" x14ac:dyDescent="0.35">
      <c r="A1013" s="1">
        <v>966</v>
      </c>
      <c r="B1013" s="1" t="s">
        <v>25</v>
      </c>
      <c r="C1013" s="1">
        <v>0</v>
      </c>
    </row>
    <row r="1014" spans="1:3" x14ac:dyDescent="0.35">
      <c r="A1014" s="1">
        <v>967</v>
      </c>
      <c r="B1014" s="1" t="s">
        <v>25</v>
      </c>
      <c r="C1014" s="1">
        <v>0</v>
      </c>
    </row>
    <row r="1015" spans="1:3" x14ac:dyDescent="0.35">
      <c r="A1015" s="1">
        <v>968</v>
      </c>
      <c r="B1015" s="1" t="s">
        <v>25</v>
      </c>
      <c r="C1015" s="1">
        <v>0</v>
      </c>
    </row>
    <row r="1016" spans="1:3" x14ac:dyDescent="0.35">
      <c r="A1016" s="1">
        <v>969</v>
      </c>
      <c r="B1016" s="1" t="s">
        <v>25</v>
      </c>
      <c r="C1016" s="1">
        <v>0</v>
      </c>
    </row>
    <row r="1017" spans="1:3" x14ac:dyDescent="0.35">
      <c r="A1017" s="1">
        <v>970</v>
      </c>
      <c r="B1017" s="1" t="s">
        <v>25</v>
      </c>
      <c r="C1017" s="1">
        <v>0</v>
      </c>
    </row>
    <row r="1018" spans="1:3" x14ac:dyDescent="0.35">
      <c r="A1018" s="1">
        <v>971</v>
      </c>
      <c r="B1018" s="1" t="s">
        <v>25</v>
      </c>
      <c r="C1018" s="1">
        <v>0</v>
      </c>
    </row>
    <row r="1019" spans="1:3" x14ac:dyDescent="0.35">
      <c r="A1019" s="1">
        <v>972</v>
      </c>
      <c r="B1019" s="1" t="s">
        <v>25</v>
      </c>
      <c r="C1019" s="1">
        <v>0</v>
      </c>
    </row>
    <row r="1020" spans="1:3" x14ac:dyDescent="0.35">
      <c r="A1020" s="1">
        <v>973</v>
      </c>
      <c r="B1020" s="1" t="s">
        <v>25</v>
      </c>
      <c r="C1020" s="1">
        <v>0</v>
      </c>
    </row>
    <row r="1021" spans="1:3" x14ac:dyDescent="0.35">
      <c r="A1021" s="1">
        <v>974</v>
      </c>
      <c r="B1021" s="1" t="s">
        <v>25</v>
      </c>
      <c r="C1021" s="1">
        <v>0</v>
      </c>
    </row>
    <row r="1022" spans="1:3" x14ac:dyDescent="0.35">
      <c r="A1022" s="1">
        <v>975</v>
      </c>
      <c r="B1022" s="1" t="s">
        <v>25</v>
      </c>
      <c r="C1022" s="1">
        <v>0</v>
      </c>
    </row>
    <row r="1023" spans="1:3" x14ac:dyDescent="0.35">
      <c r="A1023" s="1">
        <v>976</v>
      </c>
      <c r="B1023" s="1" t="s">
        <v>25</v>
      </c>
      <c r="C1023" s="1">
        <v>0</v>
      </c>
    </row>
    <row r="1024" spans="1:3" x14ac:dyDescent="0.35">
      <c r="A1024" s="1">
        <v>977</v>
      </c>
      <c r="B1024" s="1" t="s">
        <v>25</v>
      </c>
      <c r="C1024" s="1">
        <v>0</v>
      </c>
    </row>
    <row r="1025" spans="1:3" x14ac:dyDescent="0.35">
      <c r="A1025" s="1">
        <v>978</v>
      </c>
      <c r="B1025" s="1" t="s">
        <v>25</v>
      </c>
      <c r="C1025" s="1">
        <v>0</v>
      </c>
    </row>
    <row r="1026" spans="1:3" x14ac:dyDescent="0.35">
      <c r="A1026" s="1">
        <v>979</v>
      </c>
      <c r="B1026" s="1" t="s">
        <v>25</v>
      </c>
      <c r="C1026" s="1">
        <v>0</v>
      </c>
    </row>
    <row r="1027" spans="1:3" x14ac:dyDescent="0.35">
      <c r="A1027" s="1">
        <v>980</v>
      </c>
      <c r="B1027" s="1" t="s">
        <v>25</v>
      </c>
      <c r="C1027" s="1">
        <v>0</v>
      </c>
    </row>
    <row r="1028" spans="1:3" x14ac:dyDescent="0.35">
      <c r="A1028" s="1">
        <v>981</v>
      </c>
      <c r="B1028" s="1" t="s">
        <v>25</v>
      </c>
      <c r="C1028" s="1">
        <v>0</v>
      </c>
    </row>
    <row r="1029" spans="1:3" x14ac:dyDescent="0.35">
      <c r="A1029" s="1">
        <v>982</v>
      </c>
      <c r="B1029" s="1" t="s">
        <v>25</v>
      </c>
      <c r="C1029" s="1">
        <v>0</v>
      </c>
    </row>
    <row r="1030" spans="1:3" x14ac:dyDescent="0.35">
      <c r="A1030" s="1">
        <v>983</v>
      </c>
      <c r="B1030" s="1" t="s">
        <v>25</v>
      </c>
      <c r="C1030" s="1">
        <v>0</v>
      </c>
    </row>
    <row r="1031" spans="1:3" x14ac:dyDescent="0.35">
      <c r="A1031" s="1">
        <v>984</v>
      </c>
      <c r="B1031" s="1" t="s">
        <v>25</v>
      </c>
      <c r="C1031" s="1">
        <v>0</v>
      </c>
    </row>
    <row r="1032" spans="1:3" x14ac:dyDescent="0.35">
      <c r="A1032" s="1">
        <v>985</v>
      </c>
      <c r="B1032" s="1" t="s">
        <v>25</v>
      </c>
      <c r="C1032" s="1">
        <v>0</v>
      </c>
    </row>
    <row r="1033" spans="1:3" x14ac:dyDescent="0.35">
      <c r="A1033" s="1">
        <v>986</v>
      </c>
      <c r="B1033" s="1" t="s">
        <v>25</v>
      </c>
      <c r="C1033" s="1">
        <v>0</v>
      </c>
    </row>
    <row r="1034" spans="1:3" x14ac:dyDescent="0.35">
      <c r="A1034" s="1">
        <v>987</v>
      </c>
      <c r="B1034" s="1" t="s">
        <v>25</v>
      </c>
      <c r="C1034" s="1">
        <v>0</v>
      </c>
    </row>
    <row r="1035" spans="1:3" x14ac:dyDescent="0.35">
      <c r="A1035" s="1">
        <v>988</v>
      </c>
      <c r="B1035" s="1" t="s">
        <v>25</v>
      </c>
      <c r="C1035" s="1">
        <v>0</v>
      </c>
    </row>
    <row r="1036" spans="1:3" x14ac:dyDescent="0.35">
      <c r="A1036" s="1">
        <v>989</v>
      </c>
      <c r="B1036" s="1" t="s">
        <v>25</v>
      </c>
      <c r="C1036" s="1">
        <v>0</v>
      </c>
    </row>
    <row r="1037" spans="1:3" x14ac:dyDescent="0.35">
      <c r="A1037" s="1">
        <v>990</v>
      </c>
      <c r="B1037" s="1" t="s">
        <v>25</v>
      </c>
      <c r="C1037" s="1">
        <v>0</v>
      </c>
    </row>
    <row r="1038" spans="1:3" x14ac:dyDescent="0.35">
      <c r="A1038" s="1">
        <v>991</v>
      </c>
      <c r="B1038" s="1" t="s">
        <v>25</v>
      </c>
      <c r="C1038" s="1">
        <v>0</v>
      </c>
    </row>
    <row r="1039" spans="1:3" x14ac:dyDescent="0.35">
      <c r="A1039" s="1">
        <v>992</v>
      </c>
      <c r="B1039" s="1" t="s">
        <v>25</v>
      </c>
      <c r="C1039" s="1">
        <v>0</v>
      </c>
    </row>
    <row r="1040" spans="1:3" x14ac:dyDescent="0.35">
      <c r="A1040" s="1">
        <v>993</v>
      </c>
      <c r="B1040" s="1" t="s">
        <v>25</v>
      </c>
      <c r="C1040" s="1">
        <v>0</v>
      </c>
    </row>
    <row r="1041" spans="1:3" x14ac:dyDescent="0.35">
      <c r="A1041" s="1">
        <v>994</v>
      </c>
      <c r="B1041" s="1" t="s">
        <v>25</v>
      </c>
      <c r="C1041" s="1">
        <v>0</v>
      </c>
    </row>
    <row r="1042" spans="1:3" x14ac:dyDescent="0.35">
      <c r="A1042" s="1">
        <v>995</v>
      </c>
      <c r="B1042" s="1" t="s">
        <v>25</v>
      </c>
      <c r="C1042" s="1">
        <v>0</v>
      </c>
    </row>
    <row r="1043" spans="1:3" x14ac:dyDescent="0.35">
      <c r="A1043" s="1">
        <v>996</v>
      </c>
      <c r="B1043" s="1" t="s">
        <v>25</v>
      </c>
      <c r="C1043" s="1">
        <v>0</v>
      </c>
    </row>
    <row r="1044" spans="1:3" x14ac:dyDescent="0.35">
      <c r="A1044" s="1">
        <v>997</v>
      </c>
      <c r="B1044" s="1" t="s">
        <v>25</v>
      </c>
      <c r="C1044" s="1">
        <v>0</v>
      </c>
    </row>
    <row r="1045" spans="1:3" x14ac:dyDescent="0.35">
      <c r="A1045" s="1">
        <v>998</v>
      </c>
      <c r="B1045" s="1" t="s">
        <v>25</v>
      </c>
      <c r="C1045" s="1">
        <v>0</v>
      </c>
    </row>
    <row r="1046" spans="1:3" x14ac:dyDescent="0.35">
      <c r="A1046" s="1">
        <v>999</v>
      </c>
      <c r="B1046" s="1" t="s">
        <v>25</v>
      </c>
      <c r="C1046" s="1">
        <v>0</v>
      </c>
    </row>
    <row r="1047" spans="1:3" x14ac:dyDescent="0.35">
      <c r="A1047" s="1">
        <v>1000</v>
      </c>
      <c r="B1047" s="1" t="s">
        <v>25</v>
      </c>
      <c r="C1047" s="1">
        <v>0</v>
      </c>
    </row>
    <row r="1048" spans="1:3" x14ac:dyDescent="0.35">
      <c r="A1048" s="1">
        <v>1001</v>
      </c>
      <c r="B1048" s="1" t="s">
        <v>25</v>
      </c>
      <c r="C1048" s="1">
        <v>0</v>
      </c>
    </row>
    <row r="1049" spans="1:3" x14ac:dyDescent="0.35">
      <c r="A1049" s="1">
        <v>1002</v>
      </c>
      <c r="B1049" s="1" t="s">
        <v>25</v>
      </c>
      <c r="C1049" s="1">
        <v>0</v>
      </c>
    </row>
    <row r="1050" spans="1:3" x14ac:dyDescent="0.35">
      <c r="A1050" s="1">
        <v>1003</v>
      </c>
      <c r="B1050" s="1" t="s">
        <v>25</v>
      </c>
      <c r="C1050" s="1">
        <v>0</v>
      </c>
    </row>
    <row r="1051" spans="1:3" x14ac:dyDescent="0.35">
      <c r="A1051" s="1">
        <v>1004</v>
      </c>
      <c r="B1051" s="1" t="s">
        <v>25</v>
      </c>
      <c r="C1051" s="1">
        <v>0</v>
      </c>
    </row>
    <row r="1052" spans="1:3" x14ac:dyDescent="0.35">
      <c r="A1052" s="1">
        <v>1005</v>
      </c>
      <c r="B1052" s="1" t="s">
        <v>25</v>
      </c>
      <c r="C1052" s="1">
        <v>0</v>
      </c>
    </row>
    <row r="1053" spans="1:3" x14ac:dyDescent="0.35">
      <c r="A1053" s="1">
        <v>1006</v>
      </c>
      <c r="B1053" s="1" t="s">
        <v>25</v>
      </c>
      <c r="C1053" s="1">
        <v>0</v>
      </c>
    </row>
    <row r="1054" spans="1:3" x14ac:dyDescent="0.35">
      <c r="A1054" s="1">
        <v>1007</v>
      </c>
      <c r="B1054" s="1" t="s">
        <v>25</v>
      </c>
      <c r="C1054" s="1">
        <v>0</v>
      </c>
    </row>
    <row r="1055" spans="1:3" x14ac:dyDescent="0.35">
      <c r="A1055" s="1">
        <v>1008</v>
      </c>
      <c r="B1055" s="1" t="s">
        <v>25</v>
      </c>
      <c r="C1055" s="1">
        <v>0</v>
      </c>
    </row>
    <row r="1056" spans="1:3" x14ac:dyDescent="0.35">
      <c r="A1056" s="1">
        <v>1009</v>
      </c>
      <c r="B1056" s="1" t="s">
        <v>25</v>
      </c>
      <c r="C1056" s="1">
        <v>0</v>
      </c>
    </row>
    <row r="1057" spans="1:3" x14ac:dyDescent="0.35">
      <c r="A1057" s="1">
        <v>1010</v>
      </c>
      <c r="B1057" s="1" t="s">
        <v>25</v>
      </c>
      <c r="C1057" s="1">
        <v>0</v>
      </c>
    </row>
    <row r="1058" spans="1:3" x14ac:dyDescent="0.35">
      <c r="A1058" s="1">
        <v>1011</v>
      </c>
      <c r="B1058" s="1" t="s">
        <v>25</v>
      </c>
      <c r="C1058" s="1">
        <v>0</v>
      </c>
    </row>
    <row r="1059" spans="1:3" x14ac:dyDescent="0.35">
      <c r="A1059" s="1">
        <v>1012</v>
      </c>
      <c r="B1059" s="1" t="s">
        <v>25</v>
      </c>
      <c r="C1059" s="1">
        <v>0</v>
      </c>
    </row>
    <row r="1060" spans="1:3" x14ac:dyDescent="0.35">
      <c r="A1060" s="1">
        <v>1013</v>
      </c>
      <c r="B1060" s="1" t="s">
        <v>25</v>
      </c>
      <c r="C1060" s="1">
        <v>0</v>
      </c>
    </row>
    <row r="1061" spans="1:3" x14ac:dyDescent="0.35">
      <c r="A1061" s="1">
        <v>1014</v>
      </c>
      <c r="B1061" s="1" t="s">
        <v>25</v>
      </c>
      <c r="C1061" s="1">
        <v>0</v>
      </c>
    </row>
    <row r="1062" spans="1:3" x14ac:dyDescent="0.35">
      <c r="A1062" s="1">
        <v>1015</v>
      </c>
      <c r="B1062" s="1" t="s">
        <v>25</v>
      </c>
      <c r="C1062" s="1">
        <v>0</v>
      </c>
    </row>
    <row r="1063" spans="1:3" x14ac:dyDescent="0.35">
      <c r="A1063" s="1">
        <v>1016</v>
      </c>
      <c r="B1063" s="1" t="s">
        <v>25</v>
      </c>
      <c r="C1063" s="1">
        <v>0</v>
      </c>
    </row>
    <row r="1064" spans="1:3" x14ac:dyDescent="0.35">
      <c r="A1064" s="1">
        <v>1017</v>
      </c>
      <c r="B1064" s="1" t="s">
        <v>25</v>
      </c>
      <c r="C1064" s="1">
        <v>0</v>
      </c>
    </row>
    <row r="1065" spans="1:3" x14ac:dyDescent="0.35">
      <c r="A1065" s="1">
        <v>1018</v>
      </c>
      <c r="B1065" s="1" t="s">
        <v>25</v>
      </c>
      <c r="C1065" s="1">
        <v>0</v>
      </c>
    </row>
    <row r="1066" spans="1:3" x14ac:dyDescent="0.35">
      <c r="A1066" s="1">
        <v>1019</v>
      </c>
      <c r="B1066" s="1" t="s">
        <v>25</v>
      </c>
      <c r="C1066" s="1">
        <v>0</v>
      </c>
    </row>
    <row r="1067" spans="1:3" x14ac:dyDescent="0.35">
      <c r="A1067" s="1">
        <v>1020</v>
      </c>
      <c r="B1067" s="1" t="s">
        <v>25</v>
      </c>
      <c r="C1067" s="1">
        <v>0</v>
      </c>
    </row>
    <row r="1068" spans="1:3" x14ac:dyDescent="0.35">
      <c r="A1068" s="1">
        <v>1021</v>
      </c>
      <c r="B1068" s="1" t="s">
        <v>25</v>
      </c>
      <c r="C1068" s="1">
        <v>0</v>
      </c>
    </row>
    <row r="1069" spans="1:3" x14ac:dyDescent="0.35">
      <c r="A1069" s="1">
        <v>1022</v>
      </c>
      <c r="B1069" s="1" t="s">
        <v>25</v>
      </c>
      <c r="C1069" s="1">
        <v>0</v>
      </c>
    </row>
    <row r="1070" spans="1:3" x14ac:dyDescent="0.35">
      <c r="A1070" s="1">
        <v>1023</v>
      </c>
      <c r="B1070" s="1" t="s">
        <v>25</v>
      </c>
      <c r="C1070" s="1">
        <v>0</v>
      </c>
    </row>
    <row r="1071" spans="1:3" x14ac:dyDescent="0.35">
      <c r="A1071" s="1">
        <v>1024</v>
      </c>
      <c r="B1071" s="1" t="s">
        <v>25</v>
      </c>
      <c r="C1071" s="1">
        <v>0</v>
      </c>
    </row>
    <row r="1072" spans="1:3" x14ac:dyDescent="0.35">
      <c r="A1072" s="1">
        <v>1025</v>
      </c>
      <c r="B1072" s="1" t="s">
        <v>25</v>
      </c>
      <c r="C1072" s="1">
        <v>0</v>
      </c>
    </row>
    <row r="1073" spans="1:3" x14ac:dyDescent="0.35">
      <c r="A1073" s="1">
        <v>1026</v>
      </c>
      <c r="B1073" s="1" t="s">
        <v>25</v>
      </c>
      <c r="C1073" s="1">
        <v>0</v>
      </c>
    </row>
    <row r="1074" spans="1:3" x14ac:dyDescent="0.35">
      <c r="A1074" s="1">
        <v>1027</v>
      </c>
      <c r="B1074" s="1" t="s">
        <v>25</v>
      </c>
      <c r="C1074" s="1">
        <v>0</v>
      </c>
    </row>
    <row r="1075" spans="1:3" x14ac:dyDescent="0.35">
      <c r="A1075" s="1">
        <v>1028</v>
      </c>
      <c r="B1075" s="1" t="s">
        <v>25</v>
      </c>
      <c r="C1075" s="1">
        <v>0</v>
      </c>
    </row>
    <row r="1076" spans="1:3" x14ac:dyDescent="0.35">
      <c r="A1076" s="1">
        <v>1029</v>
      </c>
      <c r="B1076" s="1" t="s">
        <v>25</v>
      </c>
      <c r="C1076" s="1">
        <v>0</v>
      </c>
    </row>
    <row r="1077" spans="1:3" x14ac:dyDescent="0.35">
      <c r="A1077" s="1">
        <v>1030</v>
      </c>
      <c r="B1077" s="1" t="s">
        <v>25</v>
      </c>
      <c r="C1077" s="1">
        <v>0</v>
      </c>
    </row>
    <row r="1078" spans="1:3" x14ac:dyDescent="0.35">
      <c r="A1078" s="1">
        <v>1031</v>
      </c>
      <c r="B1078" s="1" t="s">
        <v>25</v>
      </c>
      <c r="C1078" s="1">
        <v>0</v>
      </c>
    </row>
    <row r="1079" spans="1:3" x14ac:dyDescent="0.35">
      <c r="A1079" s="1">
        <v>1032</v>
      </c>
      <c r="B1079" s="1" t="s">
        <v>25</v>
      </c>
      <c r="C1079" s="1">
        <v>0</v>
      </c>
    </row>
    <row r="1080" spans="1:3" x14ac:dyDescent="0.35">
      <c r="A1080" s="1">
        <v>1033</v>
      </c>
      <c r="B1080" s="1" t="s">
        <v>25</v>
      </c>
      <c r="C1080" s="1">
        <v>0</v>
      </c>
    </row>
    <row r="1081" spans="1:3" x14ac:dyDescent="0.35">
      <c r="A1081" s="1">
        <v>1034</v>
      </c>
      <c r="B1081" s="1" t="s">
        <v>25</v>
      </c>
      <c r="C1081" s="1">
        <v>0</v>
      </c>
    </row>
    <row r="1082" spans="1:3" x14ac:dyDescent="0.35">
      <c r="A1082" s="1">
        <v>1035</v>
      </c>
      <c r="B1082" s="1" t="s">
        <v>25</v>
      </c>
      <c r="C1082" s="1">
        <v>0</v>
      </c>
    </row>
    <row r="1083" spans="1:3" x14ac:dyDescent="0.35">
      <c r="A1083" s="1">
        <v>1036</v>
      </c>
      <c r="B1083" s="1" t="s">
        <v>25</v>
      </c>
      <c r="C1083" s="1">
        <v>0</v>
      </c>
    </row>
    <row r="1084" spans="1:3" x14ac:dyDescent="0.35">
      <c r="A1084" s="1">
        <v>1037</v>
      </c>
      <c r="B1084" s="1" t="s">
        <v>25</v>
      </c>
      <c r="C1084" s="1">
        <v>0</v>
      </c>
    </row>
    <row r="1085" spans="1:3" x14ac:dyDescent="0.35">
      <c r="A1085" s="1">
        <v>1038</v>
      </c>
      <c r="B1085" s="1" t="s">
        <v>25</v>
      </c>
      <c r="C1085" s="1">
        <v>0</v>
      </c>
    </row>
    <row r="1086" spans="1:3" x14ac:dyDescent="0.35">
      <c r="A1086" s="1">
        <v>1039</v>
      </c>
      <c r="B1086" s="1" t="s">
        <v>25</v>
      </c>
      <c r="C1086" s="1">
        <v>0</v>
      </c>
    </row>
    <row r="1087" spans="1:3" x14ac:dyDescent="0.35">
      <c r="A1087" s="1">
        <v>1040</v>
      </c>
      <c r="B1087" s="1" t="s">
        <v>25</v>
      </c>
      <c r="C1087" s="1">
        <v>0</v>
      </c>
    </row>
    <row r="1088" spans="1:3" x14ac:dyDescent="0.35">
      <c r="A1088" s="1">
        <v>1041</v>
      </c>
      <c r="B1088" s="1" t="s">
        <v>25</v>
      </c>
      <c r="C1088" s="1">
        <v>0</v>
      </c>
    </row>
    <row r="1089" spans="1:3" x14ac:dyDescent="0.35">
      <c r="A1089" s="1">
        <v>1042</v>
      </c>
      <c r="B1089" s="1" t="s">
        <v>25</v>
      </c>
      <c r="C1089" s="1">
        <v>0</v>
      </c>
    </row>
    <row r="1090" spans="1:3" x14ac:dyDescent="0.35">
      <c r="A1090" s="1">
        <v>1043</v>
      </c>
      <c r="B1090" s="1" t="s">
        <v>25</v>
      </c>
      <c r="C1090" s="1">
        <v>0</v>
      </c>
    </row>
    <row r="1091" spans="1:3" x14ac:dyDescent="0.35">
      <c r="A1091" s="1">
        <v>1044</v>
      </c>
      <c r="B1091" s="1" t="s">
        <v>25</v>
      </c>
      <c r="C1091" s="1">
        <v>0</v>
      </c>
    </row>
    <row r="1092" spans="1:3" x14ac:dyDescent="0.35">
      <c r="A1092" s="1">
        <v>1045</v>
      </c>
      <c r="B1092" s="1" t="s">
        <v>25</v>
      </c>
      <c r="C1092" s="1">
        <v>0</v>
      </c>
    </row>
    <row r="1093" spans="1:3" x14ac:dyDescent="0.35">
      <c r="A1093" s="1">
        <v>1046</v>
      </c>
      <c r="B1093" s="1" t="s">
        <v>25</v>
      </c>
      <c r="C1093" s="1">
        <v>0</v>
      </c>
    </row>
    <row r="1094" spans="1:3" x14ac:dyDescent="0.35">
      <c r="A1094" s="1">
        <v>1047</v>
      </c>
      <c r="B1094" s="1" t="s">
        <v>25</v>
      </c>
      <c r="C1094" s="1">
        <v>0</v>
      </c>
    </row>
    <row r="1095" spans="1:3" x14ac:dyDescent="0.35">
      <c r="A1095" s="1">
        <v>1048</v>
      </c>
      <c r="B1095" s="1" t="s">
        <v>25</v>
      </c>
      <c r="C1095" s="1">
        <v>0</v>
      </c>
    </row>
    <row r="1096" spans="1:3" x14ac:dyDescent="0.35">
      <c r="A1096" s="1">
        <v>1049</v>
      </c>
      <c r="B1096" s="1" t="s">
        <v>25</v>
      </c>
      <c r="C1096" s="1">
        <v>0</v>
      </c>
    </row>
    <row r="1097" spans="1:3" x14ac:dyDescent="0.35">
      <c r="A1097" s="1">
        <v>1050</v>
      </c>
      <c r="B1097" s="1" t="s">
        <v>25</v>
      </c>
      <c r="C1097" s="1">
        <v>0</v>
      </c>
    </row>
    <row r="1098" spans="1:3" x14ac:dyDescent="0.35">
      <c r="A1098" s="1">
        <v>1051</v>
      </c>
      <c r="B1098" s="1" t="s">
        <v>25</v>
      </c>
      <c r="C1098" s="1">
        <v>0</v>
      </c>
    </row>
    <row r="1099" spans="1:3" x14ac:dyDescent="0.35">
      <c r="A1099" s="1">
        <v>1052</v>
      </c>
      <c r="B1099" s="1" t="s">
        <v>25</v>
      </c>
      <c r="C1099" s="1">
        <v>0</v>
      </c>
    </row>
    <row r="1100" spans="1:3" x14ac:dyDescent="0.35">
      <c r="A1100" s="1">
        <v>1053</v>
      </c>
      <c r="B1100" s="1" t="s">
        <v>25</v>
      </c>
      <c r="C1100" s="1">
        <v>0</v>
      </c>
    </row>
    <row r="1101" spans="1:3" x14ac:dyDescent="0.35">
      <c r="A1101" s="1">
        <v>1054</v>
      </c>
      <c r="B1101" s="1" t="s">
        <v>25</v>
      </c>
      <c r="C1101" s="1">
        <v>0</v>
      </c>
    </row>
    <row r="1102" spans="1:3" x14ac:dyDescent="0.35">
      <c r="A1102" s="1">
        <v>1055</v>
      </c>
      <c r="B1102" s="1" t="s">
        <v>25</v>
      </c>
      <c r="C1102" s="1">
        <v>0</v>
      </c>
    </row>
    <row r="1103" spans="1:3" x14ac:dyDescent="0.35">
      <c r="A1103" s="1">
        <v>1056</v>
      </c>
      <c r="B1103" s="1" t="s">
        <v>25</v>
      </c>
      <c r="C1103" s="1">
        <v>0</v>
      </c>
    </row>
    <row r="1104" spans="1:3" x14ac:dyDescent="0.35">
      <c r="A1104" s="1">
        <v>1057</v>
      </c>
      <c r="B1104" s="1" t="s">
        <v>25</v>
      </c>
      <c r="C1104" s="1">
        <v>0</v>
      </c>
    </row>
    <row r="1105" spans="1:3" x14ac:dyDescent="0.35">
      <c r="A1105" s="1">
        <v>1058</v>
      </c>
      <c r="B1105" s="1" t="s">
        <v>25</v>
      </c>
      <c r="C1105" s="1">
        <v>0</v>
      </c>
    </row>
    <row r="1106" spans="1:3" x14ac:dyDescent="0.35">
      <c r="A1106" s="1">
        <v>1059</v>
      </c>
      <c r="B1106" s="1" t="s">
        <v>25</v>
      </c>
      <c r="C1106" s="1">
        <v>0</v>
      </c>
    </row>
    <row r="1107" spans="1:3" x14ac:dyDescent="0.35">
      <c r="A1107" s="1">
        <v>1060</v>
      </c>
      <c r="B1107" s="1" t="s">
        <v>25</v>
      </c>
      <c r="C1107" s="1">
        <v>0</v>
      </c>
    </row>
    <row r="1108" spans="1:3" x14ac:dyDescent="0.35">
      <c r="A1108" s="1">
        <v>1061</v>
      </c>
      <c r="B1108" s="1" t="s">
        <v>25</v>
      </c>
      <c r="C1108" s="1">
        <v>0</v>
      </c>
    </row>
    <row r="1109" spans="1:3" x14ac:dyDescent="0.35">
      <c r="A1109" s="1">
        <v>1062</v>
      </c>
      <c r="B1109" s="1" t="s">
        <v>25</v>
      </c>
      <c r="C1109" s="1">
        <v>0</v>
      </c>
    </row>
    <row r="1110" spans="1:3" x14ac:dyDescent="0.35">
      <c r="A1110" s="1">
        <v>1063</v>
      </c>
      <c r="B1110" s="1" t="s">
        <v>25</v>
      </c>
      <c r="C1110" s="1">
        <v>0</v>
      </c>
    </row>
    <row r="1111" spans="1:3" x14ac:dyDescent="0.35">
      <c r="A1111" s="1">
        <v>1064</v>
      </c>
      <c r="B1111" s="1" t="s">
        <v>25</v>
      </c>
      <c r="C1111" s="1">
        <v>0</v>
      </c>
    </row>
    <row r="1112" spans="1:3" x14ac:dyDescent="0.35">
      <c r="A1112" s="1">
        <v>1065</v>
      </c>
      <c r="B1112" s="1" t="s">
        <v>25</v>
      </c>
      <c r="C1112" s="1">
        <v>0</v>
      </c>
    </row>
    <row r="1113" spans="1:3" x14ac:dyDescent="0.35">
      <c r="A1113" s="1">
        <v>1066</v>
      </c>
      <c r="B1113" s="1" t="s">
        <v>25</v>
      </c>
      <c r="C1113" s="1">
        <v>0</v>
      </c>
    </row>
    <row r="1114" spans="1:3" x14ac:dyDescent="0.35">
      <c r="A1114" s="1">
        <v>1067</v>
      </c>
      <c r="B1114" s="1" t="s">
        <v>25</v>
      </c>
      <c r="C1114" s="1">
        <v>0</v>
      </c>
    </row>
    <row r="1115" spans="1:3" x14ac:dyDescent="0.35">
      <c r="A1115" s="1">
        <v>1068</v>
      </c>
      <c r="B1115" s="1" t="s">
        <v>25</v>
      </c>
      <c r="C1115" s="1">
        <v>0</v>
      </c>
    </row>
    <row r="1116" spans="1:3" x14ac:dyDescent="0.35">
      <c r="A1116" s="1">
        <v>1069</v>
      </c>
      <c r="B1116" s="1" t="s">
        <v>25</v>
      </c>
      <c r="C1116" s="1">
        <v>0</v>
      </c>
    </row>
    <row r="1117" spans="1:3" x14ac:dyDescent="0.35">
      <c r="A1117" s="1">
        <v>1070</v>
      </c>
      <c r="B1117" s="1" t="s">
        <v>25</v>
      </c>
      <c r="C1117" s="1">
        <v>0</v>
      </c>
    </row>
    <row r="1118" spans="1:3" x14ac:dyDescent="0.35">
      <c r="A1118" s="1">
        <v>1071</v>
      </c>
      <c r="B1118" s="1" t="s">
        <v>25</v>
      </c>
      <c r="C1118" s="1">
        <v>0</v>
      </c>
    </row>
    <row r="1119" spans="1:3" x14ac:dyDescent="0.35">
      <c r="A1119" s="1">
        <v>1072</v>
      </c>
      <c r="B1119" s="1" t="s">
        <v>25</v>
      </c>
      <c r="C1119" s="1">
        <v>0</v>
      </c>
    </row>
    <row r="1120" spans="1:3" x14ac:dyDescent="0.35">
      <c r="A1120" s="1">
        <v>1073</v>
      </c>
      <c r="B1120" s="1" t="s">
        <v>25</v>
      </c>
      <c r="C1120" s="1">
        <v>0</v>
      </c>
    </row>
    <row r="1121" spans="1:3" x14ac:dyDescent="0.35">
      <c r="A1121" s="1">
        <v>1074</v>
      </c>
      <c r="B1121" s="1" t="s">
        <v>25</v>
      </c>
      <c r="C1121" s="1">
        <v>0</v>
      </c>
    </row>
    <row r="1122" spans="1:3" x14ac:dyDescent="0.35">
      <c r="A1122" s="1">
        <v>1075</v>
      </c>
      <c r="B1122" s="1" t="s">
        <v>25</v>
      </c>
      <c r="C1122" s="1">
        <v>0</v>
      </c>
    </row>
    <row r="1123" spans="1:3" x14ac:dyDescent="0.35">
      <c r="A1123" s="1">
        <v>1076</v>
      </c>
      <c r="B1123" s="1" t="s">
        <v>25</v>
      </c>
      <c r="C1123" s="1">
        <v>0</v>
      </c>
    </row>
    <row r="1124" spans="1:3" x14ac:dyDescent="0.35">
      <c r="A1124" s="1">
        <v>1077</v>
      </c>
      <c r="B1124" s="1" t="s">
        <v>25</v>
      </c>
      <c r="C1124" s="1">
        <v>0</v>
      </c>
    </row>
    <row r="1125" spans="1:3" x14ac:dyDescent="0.35">
      <c r="A1125" s="1">
        <v>1078</v>
      </c>
      <c r="B1125" s="1" t="s">
        <v>25</v>
      </c>
      <c r="C1125" s="1">
        <v>0</v>
      </c>
    </row>
    <row r="1126" spans="1:3" x14ac:dyDescent="0.35">
      <c r="A1126" s="1">
        <v>1079</v>
      </c>
      <c r="B1126" s="1" t="s">
        <v>25</v>
      </c>
      <c r="C1126" s="1">
        <v>0</v>
      </c>
    </row>
    <row r="1127" spans="1:3" x14ac:dyDescent="0.35">
      <c r="A1127" s="1">
        <v>1080</v>
      </c>
      <c r="B1127" s="1" t="s">
        <v>25</v>
      </c>
      <c r="C1127" s="1">
        <v>0</v>
      </c>
    </row>
    <row r="1128" spans="1:3" x14ac:dyDescent="0.35">
      <c r="A1128" s="1">
        <v>1081</v>
      </c>
      <c r="B1128" s="1" t="s">
        <v>25</v>
      </c>
      <c r="C1128" s="1">
        <v>0</v>
      </c>
    </row>
    <row r="1129" spans="1:3" x14ac:dyDescent="0.35">
      <c r="A1129" s="1">
        <v>1082</v>
      </c>
      <c r="B1129" s="1" t="s">
        <v>25</v>
      </c>
      <c r="C1129" s="1">
        <v>0</v>
      </c>
    </row>
    <row r="1130" spans="1:3" x14ac:dyDescent="0.35">
      <c r="A1130" s="1">
        <v>1083</v>
      </c>
      <c r="B1130" s="1" t="s">
        <v>25</v>
      </c>
      <c r="C1130" s="1">
        <v>0</v>
      </c>
    </row>
    <row r="1131" spans="1:3" x14ac:dyDescent="0.35">
      <c r="A1131" s="1">
        <v>1084</v>
      </c>
      <c r="B1131" s="1" t="s">
        <v>25</v>
      </c>
      <c r="C1131" s="1">
        <v>0</v>
      </c>
    </row>
    <row r="1132" spans="1:3" x14ac:dyDescent="0.35">
      <c r="A1132" s="1">
        <v>1085</v>
      </c>
      <c r="B1132" s="1" t="s">
        <v>25</v>
      </c>
      <c r="C1132" s="1">
        <v>0</v>
      </c>
    </row>
    <row r="1133" spans="1:3" x14ac:dyDescent="0.35">
      <c r="A1133" s="1">
        <v>1086</v>
      </c>
      <c r="B1133" s="1" t="s">
        <v>25</v>
      </c>
      <c r="C1133" s="1">
        <v>0</v>
      </c>
    </row>
    <row r="1134" spans="1:3" x14ac:dyDescent="0.35">
      <c r="A1134" s="1">
        <v>1087</v>
      </c>
      <c r="B1134" s="1" t="s">
        <v>25</v>
      </c>
      <c r="C1134" s="1">
        <v>0</v>
      </c>
    </row>
    <row r="1135" spans="1:3" x14ac:dyDescent="0.35">
      <c r="A1135" s="1">
        <v>1088</v>
      </c>
      <c r="B1135" s="1" t="s">
        <v>25</v>
      </c>
      <c r="C1135" s="1">
        <v>0</v>
      </c>
    </row>
    <row r="1136" spans="1:3" x14ac:dyDescent="0.35">
      <c r="A1136" s="1">
        <v>1089</v>
      </c>
      <c r="B1136" s="1" t="s">
        <v>25</v>
      </c>
      <c r="C1136" s="1">
        <v>0</v>
      </c>
    </row>
    <row r="1137" spans="1:3" x14ac:dyDescent="0.35">
      <c r="A1137" s="1">
        <v>1090</v>
      </c>
      <c r="B1137" s="1" t="s">
        <v>25</v>
      </c>
      <c r="C1137" s="1">
        <v>0</v>
      </c>
    </row>
    <row r="1138" spans="1:3" x14ac:dyDescent="0.35">
      <c r="A1138" s="1">
        <v>1091</v>
      </c>
      <c r="B1138" s="1" t="s">
        <v>25</v>
      </c>
      <c r="C1138" s="1">
        <v>0</v>
      </c>
    </row>
    <row r="1139" spans="1:3" x14ac:dyDescent="0.35">
      <c r="A1139" s="1">
        <v>1092</v>
      </c>
      <c r="B1139" s="1" t="s">
        <v>25</v>
      </c>
      <c r="C1139" s="1">
        <v>0</v>
      </c>
    </row>
    <row r="1140" spans="1:3" x14ac:dyDescent="0.35">
      <c r="A1140" s="1">
        <v>1093</v>
      </c>
      <c r="B1140" s="1" t="s">
        <v>25</v>
      </c>
      <c r="C1140" s="1">
        <v>0</v>
      </c>
    </row>
    <row r="1141" spans="1:3" x14ac:dyDescent="0.35">
      <c r="A1141" s="1">
        <v>1094</v>
      </c>
      <c r="B1141" s="1" t="s">
        <v>25</v>
      </c>
      <c r="C1141" s="1">
        <v>0</v>
      </c>
    </row>
    <row r="1142" spans="1:3" x14ac:dyDescent="0.35">
      <c r="A1142" s="1">
        <v>1095</v>
      </c>
      <c r="B1142" s="1" t="s">
        <v>25</v>
      </c>
      <c r="C1142" s="1">
        <v>0</v>
      </c>
    </row>
    <row r="1143" spans="1:3" x14ac:dyDescent="0.35">
      <c r="A1143" s="1">
        <v>1096</v>
      </c>
      <c r="B1143" s="1" t="s">
        <v>25</v>
      </c>
      <c r="C1143" s="1">
        <v>0</v>
      </c>
    </row>
    <row r="1144" spans="1:3" x14ac:dyDescent="0.35">
      <c r="A1144" s="1">
        <v>1097</v>
      </c>
      <c r="B1144" s="1" t="s">
        <v>25</v>
      </c>
      <c r="C1144" s="1">
        <v>0</v>
      </c>
    </row>
    <row r="1145" spans="1:3" x14ac:dyDescent="0.35">
      <c r="A1145" s="1">
        <v>1098</v>
      </c>
      <c r="B1145" s="1" t="s">
        <v>25</v>
      </c>
      <c r="C1145" s="1">
        <v>0</v>
      </c>
    </row>
    <row r="1146" spans="1:3" x14ac:dyDescent="0.35">
      <c r="A1146" s="1">
        <v>1099</v>
      </c>
      <c r="B1146" s="1" t="s">
        <v>25</v>
      </c>
      <c r="C1146" s="1">
        <v>0</v>
      </c>
    </row>
    <row r="1147" spans="1:3" x14ac:dyDescent="0.35">
      <c r="A1147" s="1">
        <v>1100</v>
      </c>
      <c r="B1147" s="1" t="s">
        <v>25</v>
      </c>
      <c r="C1147" s="1">
        <v>0</v>
      </c>
    </row>
    <row r="1148" spans="1:3" x14ac:dyDescent="0.35">
      <c r="A1148" s="1">
        <v>1101</v>
      </c>
      <c r="B1148" s="1" t="s">
        <v>25</v>
      </c>
      <c r="C1148" s="1">
        <v>0</v>
      </c>
    </row>
    <row r="1149" spans="1:3" x14ac:dyDescent="0.35">
      <c r="A1149" s="1">
        <v>1102</v>
      </c>
      <c r="B1149" s="1" t="s">
        <v>25</v>
      </c>
      <c r="C1149" s="1">
        <v>0</v>
      </c>
    </row>
    <row r="1150" spans="1:3" x14ac:dyDescent="0.35">
      <c r="A1150" s="1">
        <v>1103</v>
      </c>
      <c r="B1150" s="1" t="s">
        <v>25</v>
      </c>
      <c r="C1150" s="1">
        <v>0</v>
      </c>
    </row>
    <row r="1151" spans="1:3" x14ac:dyDescent="0.35">
      <c r="A1151" s="1">
        <v>1104</v>
      </c>
      <c r="B1151" s="1" t="s">
        <v>25</v>
      </c>
      <c r="C1151" s="1">
        <v>0</v>
      </c>
    </row>
    <row r="1152" spans="1:3" x14ac:dyDescent="0.35">
      <c r="A1152" s="1">
        <v>1105</v>
      </c>
      <c r="B1152" s="1" t="s">
        <v>25</v>
      </c>
      <c r="C1152" s="1">
        <v>0</v>
      </c>
    </row>
    <row r="1153" spans="1:3" x14ac:dyDescent="0.35">
      <c r="A1153" s="1">
        <v>1106</v>
      </c>
      <c r="B1153" s="1" t="s">
        <v>25</v>
      </c>
      <c r="C1153" s="1">
        <v>0</v>
      </c>
    </row>
    <row r="1154" spans="1:3" x14ac:dyDescent="0.35">
      <c r="A1154" s="1">
        <v>1107</v>
      </c>
      <c r="B1154" s="1" t="s">
        <v>25</v>
      </c>
      <c r="C1154" s="1">
        <v>0</v>
      </c>
    </row>
    <row r="1155" spans="1:3" x14ac:dyDescent="0.35">
      <c r="A1155" s="1">
        <v>1108</v>
      </c>
      <c r="B1155" s="1" t="s">
        <v>25</v>
      </c>
      <c r="C1155" s="1">
        <v>0</v>
      </c>
    </row>
    <row r="1156" spans="1:3" x14ac:dyDescent="0.35">
      <c r="A1156" s="1">
        <v>1109</v>
      </c>
      <c r="B1156" s="1" t="s">
        <v>25</v>
      </c>
      <c r="C1156" s="1">
        <v>0</v>
      </c>
    </row>
    <row r="1157" spans="1:3" x14ac:dyDescent="0.35">
      <c r="A1157" s="1">
        <v>1110</v>
      </c>
      <c r="B1157" s="1" t="s">
        <v>25</v>
      </c>
      <c r="C1157" s="1">
        <v>0</v>
      </c>
    </row>
    <row r="1158" spans="1:3" x14ac:dyDescent="0.35">
      <c r="A1158" s="1">
        <v>1111</v>
      </c>
      <c r="B1158" s="1" t="s">
        <v>25</v>
      </c>
      <c r="C1158" s="1">
        <v>0</v>
      </c>
    </row>
    <row r="1159" spans="1:3" x14ac:dyDescent="0.35">
      <c r="A1159" s="1">
        <v>1112</v>
      </c>
      <c r="B1159" s="1" t="s">
        <v>25</v>
      </c>
      <c r="C1159" s="1">
        <v>0</v>
      </c>
    </row>
    <row r="1160" spans="1:3" x14ac:dyDescent="0.35">
      <c r="A1160" s="1">
        <v>1113</v>
      </c>
      <c r="B1160" s="1" t="s">
        <v>25</v>
      </c>
      <c r="C1160" s="1">
        <v>0</v>
      </c>
    </row>
    <row r="1161" spans="1:3" x14ac:dyDescent="0.35">
      <c r="A1161" s="1">
        <v>1114</v>
      </c>
      <c r="B1161" s="1" t="s">
        <v>25</v>
      </c>
      <c r="C1161" s="1">
        <v>0</v>
      </c>
    </row>
    <row r="1162" spans="1:3" x14ac:dyDescent="0.35">
      <c r="A1162" s="1">
        <v>1115</v>
      </c>
      <c r="B1162" s="1" t="s">
        <v>25</v>
      </c>
      <c r="C1162" s="1">
        <v>0</v>
      </c>
    </row>
    <row r="1163" spans="1:3" x14ac:dyDescent="0.35">
      <c r="A1163" s="1">
        <v>1116</v>
      </c>
      <c r="B1163" s="1" t="s">
        <v>25</v>
      </c>
      <c r="C1163" s="1">
        <v>0</v>
      </c>
    </row>
    <row r="1164" spans="1:3" x14ac:dyDescent="0.35">
      <c r="A1164" s="1">
        <v>1117</v>
      </c>
      <c r="B1164" s="1" t="s">
        <v>25</v>
      </c>
      <c r="C1164" s="1">
        <v>0</v>
      </c>
    </row>
    <row r="1165" spans="1:3" x14ac:dyDescent="0.35">
      <c r="A1165" s="1">
        <v>1118</v>
      </c>
      <c r="B1165" s="1" t="s">
        <v>25</v>
      </c>
      <c r="C1165" s="1">
        <v>0</v>
      </c>
    </row>
    <row r="1166" spans="1:3" x14ac:dyDescent="0.35">
      <c r="A1166" s="1">
        <v>1119</v>
      </c>
      <c r="B1166" s="1" t="s">
        <v>25</v>
      </c>
      <c r="C1166" s="1">
        <v>0</v>
      </c>
    </row>
    <row r="1167" spans="1:3" x14ac:dyDescent="0.35">
      <c r="A1167" s="1">
        <v>1120</v>
      </c>
      <c r="B1167" s="1" t="s">
        <v>25</v>
      </c>
      <c r="C1167" s="1">
        <v>0</v>
      </c>
    </row>
    <row r="1168" spans="1:3" x14ac:dyDescent="0.35">
      <c r="A1168" s="1">
        <v>1121</v>
      </c>
      <c r="B1168" s="1" t="s">
        <v>25</v>
      </c>
      <c r="C1168" s="1">
        <v>0</v>
      </c>
    </row>
    <row r="1169" spans="1:3" x14ac:dyDescent="0.35">
      <c r="A1169" s="1">
        <v>1122</v>
      </c>
      <c r="B1169" s="1" t="s">
        <v>25</v>
      </c>
      <c r="C1169" s="1">
        <v>0</v>
      </c>
    </row>
    <row r="1170" spans="1:3" x14ac:dyDescent="0.35">
      <c r="A1170" s="1">
        <v>1123</v>
      </c>
      <c r="B1170" s="1" t="s">
        <v>25</v>
      </c>
      <c r="C1170" s="1">
        <v>0</v>
      </c>
    </row>
    <row r="1171" spans="1:3" x14ac:dyDescent="0.35">
      <c r="A1171" s="1">
        <v>1124</v>
      </c>
      <c r="B1171" s="1" t="s">
        <v>25</v>
      </c>
      <c r="C1171" s="1">
        <v>0</v>
      </c>
    </row>
    <row r="1172" spans="1:3" x14ac:dyDescent="0.35">
      <c r="A1172" s="1">
        <v>1125</v>
      </c>
      <c r="B1172" s="1" t="s">
        <v>25</v>
      </c>
      <c r="C1172" s="1">
        <v>0</v>
      </c>
    </row>
    <row r="1173" spans="1:3" x14ac:dyDescent="0.35">
      <c r="A1173" s="1">
        <v>1126</v>
      </c>
      <c r="B1173" s="1" t="s">
        <v>25</v>
      </c>
      <c r="C1173" s="1">
        <v>0</v>
      </c>
    </row>
    <row r="1174" spans="1:3" x14ac:dyDescent="0.35">
      <c r="A1174" s="1">
        <v>1127</v>
      </c>
      <c r="B1174" s="1" t="s">
        <v>25</v>
      </c>
      <c r="C1174" s="1">
        <v>0</v>
      </c>
    </row>
    <row r="1175" spans="1:3" x14ac:dyDescent="0.35">
      <c r="A1175" s="1">
        <v>1128</v>
      </c>
      <c r="B1175" s="1" t="s">
        <v>25</v>
      </c>
      <c r="C1175" s="1">
        <v>0</v>
      </c>
    </row>
    <row r="1176" spans="1:3" x14ac:dyDescent="0.35">
      <c r="A1176" s="1">
        <v>1129</v>
      </c>
      <c r="B1176" s="1" t="s">
        <v>25</v>
      </c>
      <c r="C1176" s="1">
        <v>0</v>
      </c>
    </row>
    <row r="1177" spans="1:3" x14ac:dyDescent="0.35">
      <c r="A1177" s="1">
        <v>1130</v>
      </c>
      <c r="B1177" s="1" t="s">
        <v>25</v>
      </c>
      <c r="C1177" s="1">
        <v>0</v>
      </c>
    </row>
    <row r="1178" spans="1:3" x14ac:dyDescent="0.35">
      <c r="A1178" s="1">
        <v>1131</v>
      </c>
      <c r="B1178" s="1" t="s">
        <v>25</v>
      </c>
      <c r="C1178" s="1">
        <v>0</v>
      </c>
    </row>
    <row r="1179" spans="1:3" x14ac:dyDescent="0.35">
      <c r="A1179" s="1">
        <v>1132</v>
      </c>
      <c r="B1179" s="1" t="s">
        <v>25</v>
      </c>
      <c r="C1179" s="1">
        <v>0</v>
      </c>
    </row>
    <row r="1180" spans="1:3" x14ac:dyDescent="0.35">
      <c r="A1180" s="1">
        <v>1133</v>
      </c>
      <c r="B1180" s="1" t="s">
        <v>25</v>
      </c>
      <c r="C1180" s="1">
        <v>0</v>
      </c>
    </row>
    <row r="1181" spans="1:3" x14ac:dyDescent="0.35">
      <c r="A1181" s="1">
        <v>1134</v>
      </c>
      <c r="B1181" s="1" t="s">
        <v>25</v>
      </c>
      <c r="C1181" s="1">
        <v>0</v>
      </c>
    </row>
    <row r="1182" spans="1:3" x14ac:dyDescent="0.35">
      <c r="A1182" s="1">
        <v>1135</v>
      </c>
      <c r="B1182" s="1" t="s">
        <v>25</v>
      </c>
      <c r="C1182" s="1">
        <v>0</v>
      </c>
    </row>
    <row r="1183" spans="1:3" x14ac:dyDescent="0.35">
      <c r="A1183" s="1">
        <v>1136</v>
      </c>
      <c r="B1183" s="1" t="s">
        <v>25</v>
      </c>
      <c r="C1183" s="1">
        <v>0</v>
      </c>
    </row>
    <row r="1184" spans="1:3" x14ac:dyDescent="0.35">
      <c r="A1184" s="1">
        <v>1137</v>
      </c>
      <c r="B1184" s="1" t="s">
        <v>25</v>
      </c>
      <c r="C1184" s="1">
        <v>0</v>
      </c>
    </row>
    <row r="1185" spans="1:3" x14ac:dyDescent="0.35">
      <c r="A1185" s="1">
        <v>1138</v>
      </c>
      <c r="B1185" s="1" t="s">
        <v>25</v>
      </c>
      <c r="C1185" s="1">
        <v>0</v>
      </c>
    </row>
    <row r="1186" spans="1:3" x14ac:dyDescent="0.35">
      <c r="A1186" s="1">
        <v>1139</v>
      </c>
      <c r="B1186" s="1" t="s">
        <v>25</v>
      </c>
      <c r="C1186" s="1">
        <v>0</v>
      </c>
    </row>
    <row r="1187" spans="1:3" x14ac:dyDescent="0.35">
      <c r="A1187" s="1">
        <v>1140</v>
      </c>
      <c r="B1187" s="1" t="s">
        <v>25</v>
      </c>
      <c r="C1187" s="1">
        <v>0</v>
      </c>
    </row>
    <row r="1188" spans="1:3" x14ac:dyDescent="0.35">
      <c r="A1188" s="1">
        <v>1141</v>
      </c>
      <c r="B1188" s="1" t="s">
        <v>25</v>
      </c>
      <c r="C1188" s="1">
        <v>0</v>
      </c>
    </row>
    <row r="1189" spans="1:3" x14ac:dyDescent="0.35">
      <c r="A1189" s="1">
        <v>1142</v>
      </c>
      <c r="B1189" s="1" t="s">
        <v>25</v>
      </c>
      <c r="C1189" s="1">
        <v>0</v>
      </c>
    </row>
    <row r="1190" spans="1:3" x14ac:dyDescent="0.35">
      <c r="A1190" s="1">
        <v>1143</v>
      </c>
      <c r="B1190" s="1" t="s">
        <v>25</v>
      </c>
      <c r="C1190" s="1">
        <v>0</v>
      </c>
    </row>
    <row r="1191" spans="1:3" x14ac:dyDescent="0.35">
      <c r="A1191" s="1">
        <v>1144</v>
      </c>
      <c r="B1191" s="1" t="s">
        <v>25</v>
      </c>
      <c r="C1191" s="1">
        <v>0</v>
      </c>
    </row>
    <row r="1192" spans="1:3" x14ac:dyDescent="0.35">
      <c r="A1192" s="1">
        <v>1145</v>
      </c>
      <c r="B1192" s="1" t="s">
        <v>25</v>
      </c>
      <c r="C1192" s="1">
        <v>0</v>
      </c>
    </row>
    <row r="1193" spans="1:3" x14ac:dyDescent="0.35">
      <c r="A1193" s="1">
        <v>1146</v>
      </c>
      <c r="B1193" s="1" t="s">
        <v>25</v>
      </c>
      <c r="C1193" s="1">
        <v>0</v>
      </c>
    </row>
    <row r="1194" spans="1:3" x14ac:dyDescent="0.35">
      <c r="A1194" s="1">
        <v>1147</v>
      </c>
      <c r="B1194" s="1" t="s">
        <v>25</v>
      </c>
      <c r="C1194" s="1">
        <v>0</v>
      </c>
    </row>
    <row r="1195" spans="1:3" x14ac:dyDescent="0.35">
      <c r="A1195" s="1">
        <v>1148</v>
      </c>
      <c r="B1195" s="1" t="s">
        <v>25</v>
      </c>
      <c r="C1195" s="1">
        <v>0</v>
      </c>
    </row>
    <row r="1196" spans="1:3" x14ac:dyDescent="0.35">
      <c r="A1196" s="1">
        <v>1149</v>
      </c>
      <c r="B1196" s="1" t="s">
        <v>25</v>
      </c>
      <c r="C1196" s="1">
        <v>0</v>
      </c>
    </row>
    <row r="1197" spans="1:3" x14ac:dyDescent="0.35">
      <c r="A1197" s="1">
        <v>1150</v>
      </c>
      <c r="B1197" s="1" t="s">
        <v>25</v>
      </c>
      <c r="C1197" s="1">
        <v>0</v>
      </c>
    </row>
    <row r="1198" spans="1:3" x14ac:dyDescent="0.35">
      <c r="A1198" s="1">
        <v>1151</v>
      </c>
      <c r="B1198" s="1" t="s">
        <v>25</v>
      </c>
      <c r="C1198" s="1">
        <v>0</v>
      </c>
    </row>
    <row r="1199" spans="1:3" x14ac:dyDescent="0.35">
      <c r="A1199" s="1">
        <v>1152</v>
      </c>
      <c r="B1199" s="1" t="s">
        <v>25</v>
      </c>
      <c r="C1199" s="1">
        <v>0</v>
      </c>
    </row>
    <row r="1200" spans="1:3" x14ac:dyDescent="0.35">
      <c r="A1200" s="1">
        <v>1153</v>
      </c>
      <c r="B1200" s="1" t="s">
        <v>25</v>
      </c>
      <c r="C1200" s="1">
        <v>0</v>
      </c>
    </row>
    <row r="1201" spans="1:3" x14ac:dyDescent="0.35">
      <c r="A1201" s="1">
        <v>1154</v>
      </c>
      <c r="B1201" s="1" t="s">
        <v>25</v>
      </c>
      <c r="C1201" s="1">
        <v>0</v>
      </c>
    </row>
    <row r="1202" spans="1:3" x14ac:dyDescent="0.35">
      <c r="A1202" s="1">
        <v>1155</v>
      </c>
      <c r="B1202" s="1" t="s">
        <v>25</v>
      </c>
      <c r="C1202" s="1">
        <v>0</v>
      </c>
    </row>
    <row r="1203" spans="1:3" x14ac:dyDescent="0.35">
      <c r="A1203" s="1">
        <v>1156</v>
      </c>
      <c r="B1203" s="1" t="s">
        <v>25</v>
      </c>
      <c r="C1203" s="1">
        <v>0</v>
      </c>
    </row>
    <row r="1204" spans="1:3" x14ac:dyDescent="0.35">
      <c r="A1204" s="1">
        <v>1157</v>
      </c>
      <c r="B1204" s="1" t="s">
        <v>25</v>
      </c>
      <c r="C1204" s="1">
        <v>0</v>
      </c>
    </row>
    <row r="1205" spans="1:3" x14ac:dyDescent="0.35">
      <c r="A1205" s="1">
        <v>1158</v>
      </c>
      <c r="B1205" s="1" t="s">
        <v>25</v>
      </c>
      <c r="C1205" s="1">
        <v>0</v>
      </c>
    </row>
    <row r="1206" spans="1:3" x14ac:dyDescent="0.35">
      <c r="A1206" s="1">
        <v>1159</v>
      </c>
      <c r="B1206" s="1" t="s">
        <v>25</v>
      </c>
      <c r="C1206" s="1">
        <v>0</v>
      </c>
    </row>
    <row r="1207" spans="1:3" x14ac:dyDescent="0.35">
      <c r="A1207" s="1">
        <v>1160</v>
      </c>
      <c r="B1207" s="1" t="s">
        <v>25</v>
      </c>
      <c r="C1207" s="1">
        <v>0</v>
      </c>
    </row>
    <row r="1208" spans="1:3" x14ac:dyDescent="0.35">
      <c r="A1208" s="1">
        <v>1161</v>
      </c>
      <c r="B1208" s="1" t="s">
        <v>25</v>
      </c>
      <c r="C1208" s="1">
        <v>0</v>
      </c>
    </row>
    <row r="1209" spans="1:3" x14ac:dyDescent="0.35">
      <c r="A1209" s="1">
        <v>1162</v>
      </c>
      <c r="B1209" s="1" t="s">
        <v>25</v>
      </c>
      <c r="C1209" s="1">
        <v>0</v>
      </c>
    </row>
    <row r="1210" spans="1:3" x14ac:dyDescent="0.35">
      <c r="A1210" s="1">
        <v>1163</v>
      </c>
      <c r="B1210" s="1" t="s">
        <v>25</v>
      </c>
      <c r="C1210" s="1">
        <v>0</v>
      </c>
    </row>
    <row r="1211" spans="1:3" x14ac:dyDescent="0.35">
      <c r="A1211" s="1">
        <v>1164</v>
      </c>
      <c r="B1211" s="1" t="s">
        <v>25</v>
      </c>
      <c r="C1211" s="1">
        <v>0</v>
      </c>
    </row>
    <row r="1212" spans="1:3" x14ac:dyDescent="0.35">
      <c r="A1212" s="1">
        <v>1165</v>
      </c>
      <c r="B1212" s="1" t="s">
        <v>25</v>
      </c>
      <c r="C1212" s="1">
        <v>0</v>
      </c>
    </row>
    <row r="1213" spans="1:3" x14ac:dyDescent="0.35">
      <c r="A1213" s="1">
        <v>1166</v>
      </c>
      <c r="B1213" s="1" t="s">
        <v>25</v>
      </c>
      <c r="C1213" s="1">
        <v>0</v>
      </c>
    </row>
    <row r="1214" spans="1:3" x14ac:dyDescent="0.35">
      <c r="A1214" s="1">
        <v>1167</v>
      </c>
      <c r="B1214" s="1" t="s">
        <v>25</v>
      </c>
      <c r="C1214" s="1">
        <v>0</v>
      </c>
    </row>
    <row r="1215" spans="1:3" x14ac:dyDescent="0.35">
      <c r="A1215" s="1">
        <v>1168</v>
      </c>
      <c r="B1215" s="1" t="s">
        <v>25</v>
      </c>
      <c r="C1215" s="1">
        <v>0</v>
      </c>
    </row>
    <row r="1216" spans="1:3" x14ac:dyDescent="0.35">
      <c r="A1216" s="1">
        <v>1169</v>
      </c>
      <c r="B1216" s="1" t="s">
        <v>25</v>
      </c>
      <c r="C1216" s="1">
        <v>0</v>
      </c>
    </row>
    <row r="1217" spans="1:3" x14ac:dyDescent="0.35">
      <c r="A1217" s="1">
        <v>1170</v>
      </c>
      <c r="B1217" s="1" t="s">
        <v>25</v>
      </c>
      <c r="C1217" s="1">
        <v>0</v>
      </c>
    </row>
    <row r="1218" spans="1:3" x14ac:dyDescent="0.35">
      <c r="A1218" s="1">
        <v>1171</v>
      </c>
      <c r="B1218" s="1" t="s">
        <v>25</v>
      </c>
      <c r="C1218" s="1">
        <v>0</v>
      </c>
    </row>
    <row r="1219" spans="1:3" x14ac:dyDescent="0.35">
      <c r="A1219" s="1">
        <v>1172</v>
      </c>
      <c r="B1219" s="1" t="s">
        <v>25</v>
      </c>
      <c r="C1219" s="1">
        <v>0</v>
      </c>
    </row>
    <row r="1220" spans="1:3" x14ac:dyDescent="0.35">
      <c r="A1220" s="1">
        <v>1173</v>
      </c>
      <c r="B1220" s="1" t="s">
        <v>25</v>
      </c>
      <c r="C1220" s="1">
        <v>0</v>
      </c>
    </row>
    <row r="1221" spans="1:3" x14ac:dyDescent="0.35">
      <c r="A1221" s="1">
        <v>1174</v>
      </c>
      <c r="B1221" s="1" t="s">
        <v>25</v>
      </c>
      <c r="C1221" s="1">
        <v>0</v>
      </c>
    </row>
    <row r="1222" spans="1:3" x14ac:dyDescent="0.35">
      <c r="A1222" s="1">
        <v>1175</v>
      </c>
      <c r="B1222" s="1" t="s">
        <v>25</v>
      </c>
      <c r="C1222" s="1">
        <v>0</v>
      </c>
    </row>
    <row r="1223" spans="1:3" x14ac:dyDescent="0.35">
      <c r="A1223" s="1">
        <v>1176</v>
      </c>
      <c r="B1223" s="1" t="s">
        <v>25</v>
      </c>
      <c r="C1223" s="1">
        <v>0</v>
      </c>
    </row>
    <row r="1224" spans="1:3" x14ac:dyDescent="0.35">
      <c r="A1224" s="1">
        <v>1177</v>
      </c>
      <c r="B1224" s="1" t="s">
        <v>25</v>
      </c>
      <c r="C1224" s="1">
        <v>0</v>
      </c>
    </row>
    <row r="1225" spans="1:3" x14ac:dyDescent="0.35">
      <c r="A1225" s="1">
        <v>1178</v>
      </c>
      <c r="B1225" s="1" t="s">
        <v>25</v>
      </c>
      <c r="C1225" s="1">
        <v>0</v>
      </c>
    </row>
    <row r="1226" spans="1:3" x14ac:dyDescent="0.35">
      <c r="A1226" s="1">
        <v>1179</v>
      </c>
      <c r="B1226" s="1" t="s">
        <v>25</v>
      </c>
      <c r="C1226" s="1">
        <v>0</v>
      </c>
    </row>
    <row r="1227" spans="1:3" x14ac:dyDescent="0.35">
      <c r="A1227" s="1">
        <v>1180</v>
      </c>
      <c r="B1227" s="1" t="s">
        <v>25</v>
      </c>
      <c r="C1227" s="1">
        <v>0</v>
      </c>
    </row>
    <row r="1228" spans="1:3" x14ac:dyDescent="0.35">
      <c r="A1228" s="1">
        <v>1181</v>
      </c>
      <c r="B1228" s="1" t="s">
        <v>25</v>
      </c>
      <c r="C1228" s="1">
        <v>0</v>
      </c>
    </row>
    <row r="1229" spans="1:3" x14ac:dyDescent="0.35">
      <c r="A1229" s="1">
        <v>1182</v>
      </c>
      <c r="B1229" s="1" t="s">
        <v>25</v>
      </c>
      <c r="C1229" s="1">
        <v>0</v>
      </c>
    </row>
    <row r="1230" spans="1:3" x14ac:dyDescent="0.35">
      <c r="A1230" s="1">
        <v>1183</v>
      </c>
      <c r="B1230" s="1" t="s">
        <v>25</v>
      </c>
      <c r="C1230" s="1">
        <v>0</v>
      </c>
    </row>
    <row r="1231" spans="1:3" x14ac:dyDescent="0.35">
      <c r="A1231" s="1">
        <v>1184</v>
      </c>
      <c r="B1231" s="1" t="s">
        <v>25</v>
      </c>
      <c r="C1231" s="1">
        <v>0</v>
      </c>
    </row>
    <row r="1232" spans="1:3" x14ac:dyDescent="0.35">
      <c r="A1232" s="1">
        <v>1185</v>
      </c>
      <c r="B1232" s="1" t="s">
        <v>25</v>
      </c>
      <c r="C1232" s="1">
        <v>0</v>
      </c>
    </row>
    <row r="1233" spans="1:3" x14ac:dyDescent="0.35">
      <c r="A1233" s="1">
        <v>1186</v>
      </c>
      <c r="B1233" s="1" t="s">
        <v>25</v>
      </c>
      <c r="C1233" s="1">
        <v>0</v>
      </c>
    </row>
    <row r="1234" spans="1:3" x14ac:dyDescent="0.35">
      <c r="A1234" s="1">
        <v>1187</v>
      </c>
      <c r="B1234" s="1" t="s">
        <v>25</v>
      </c>
      <c r="C1234" s="1">
        <v>0</v>
      </c>
    </row>
    <row r="1235" spans="1:3" x14ac:dyDescent="0.35">
      <c r="A1235" s="1">
        <v>1188</v>
      </c>
      <c r="B1235" s="1" t="s">
        <v>25</v>
      </c>
      <c r="C1235" s="1">
        <v>0</v>
      </c>
    </row>
    <row r="1236" spans="1:3" x14ac:dyDescent="0.35">
      <c r="A1236" s="1">
        <v>1189</v>
      </c>
      <c r="B1236" s="1" t="s">
        <v>25</v>
      </c>
      <c r="C1236" s="1">
        <v>0</v>
      </c>
    </row>
    <row r="1237" spans="1:3" x14ac:dyDescent="0.35">
      <c r="A1237" s="1">
        <v>1190</v>
      </c>
      <c r="B1237" s="1" t="s">
        <v>25</v>
      </c>
      <c r="C1237" s="1">
        <v>0</v>
      </c>
    </row>
    <row r="1238" spans="1:3" x14ac:dyDescent="0.35">
      <c r="A1238" s="1">
        <v>1191</v>
      </c>
      <c r="B1238" s="1" t="s">
        <v>25</v>
      </c>
      <c r="C1238" s="1">
        <v>0</v>
      </c>
    </row>
    <row r="1239" spans="1:3" x14ac:dyDescent="0.35">
      <c r="A1239" s="1">
        <v>1192</v>
      </c>
      <c r="B1239" s="1" t="s">
        <v>25</v>
      </c>
      <c r="C1239" s="1">
        <v>0</v>
      </c>
    </row>
    <row r="1240" spans="1:3" x14ac:dyDescent="0.35">
      <c r="A1240" s="1">
        <v>1193</v>
      </c>
      <c r="B1240" s="1" t="s">
        <v>25</v>
      </c>
      <c r="C1240" s="1">
        <v>0</v>
      </c>
    </row>
    <row r="1241" spans="1:3" x14ac:dyDescent="0.35">
      <c r="A1241" s="1">
        <v>1194</v>
      </c>
      <c r="B1241" s="1" t="s">
        <v>25</v>
      </c>
      <c r="C1241" s="1">
        <v>0</v>
      </c>
    </row>
    <row r="1242" spans="1:3" x14ac:dyDescent="0.35">
      <c r="A1242" s="1">
        <v>1195</v>
      </c>
      <c r="B1242" s="1" t="s">
        <v>25</v>
      </c>
      <c r="C1242" s="1">
        <v>0</v>
      </c>
    </row>
    <row r="1243" spans="1:3" x14ac:dyDescent="0.35">
      <c r="A1243" s="1">
        <v>1196</v>
      </c>
      <c r="B1243" s="1" t="s">
        <v>25</v>
      </c>
      <c r="C1243" s="1">
        <v>0</v>
      </c>
    </row>
    <row r="1244" spans="1:3" x14ac:dyDescent="0.35">
      <c r="A1244" s="1">
        <v>1197</v>
      </c>
      <c r="B1244" s="1" t="s">
        <v>25</v>
      </c>
      <c r="C1244" s="1">
        <v>0</v>
      </c>
    </row>
    <row r="1245" spans="1:3" x14ac:dyDescent="0.35">
      <c r="A1245" s="1">
        <v>1198</v>
      </c>
      <c r="B1245" s="1" t="s">
        <v>25</v>
      </c>
      <c r="C1245" s="1">
        <v>0</v>
      </c>
    </row>
    <row r="1246" spans="1:3" x14ac:dyDescent="0.35">
      <c r="A1246" s="1">
        <v>1199</v>
      </c>
      <c r="B1246" s="1" t="s">
        <v>25</v>
      </c>
      <c r="C1246" s="1">
        <v>0</v>
      </c>
    </row>
    <row r="1247" spans="1:3" x14ac:dyDescent="0.35">
      <c r="A1247" s="1">
        <v>1200</v>
      </c>
      <c r="B1247" s="1" t="s">
        <v>25</v>
      </c>
      <c r="C1247" s="1">
        <v>0</v>
      </c>
    </row>
    <row r="1248" spans="1:3" x14ac:dyDescent="0.35">
      <c r="A1248" s="1">
        <v>1201</v>
      </c>
      <c r="B1248" s="1" t="s">
        <v>25</v>
      </c>
      <c r="C1248" s="1">
        <v>0</v>
      </c>
    </row>
    <row r="1249" spans="1:3" x14ac:dyDescent="0.35">
      <c r="A1249" s="1">
        <v>1202</v>
      </c>
      <c r="B1249" s="1" t="s">
        <v>25</v>
      </c>
      <c r="C1249" s="1">
        <v>0</v>
      </c>
    </row>
    <row r="1250" spans="1:3" x14ac:dyDescent="0.35">
      <c r="A1250" s="1">
        <v>1203</v>
      </c>
      <c r="B1250" s="1" t="s">
        <v>25</v>
      </c>
      <c r="C1250" s="1">
        <v>0</v>
      </c>
    </row>
    <row r="1251" spans="1:3" x14ac:dyDescent="0.35">
      <c r="A1251" s="1">
        <v>1204</v>
      </c>
      <c r="B1251" s="1" t="s">
        <v>25</v>
      </c>
      <c r="C1251" s="1">
        <v>0</v>
      </c>
    </row>
    <row r="1252" spans="1:3" x14ac:dyDescent="0.35">
      <c r="A1252" s="1">
        <v>1205</v>
      </c>
      <c r="B1252" s="1" t="s">
        <v>25</v>
      </c>
      <c r="C1252" s="1">
        <v>0</v>
      </c>
    </row>
    <row r="1253" spans="1:3" x14ac:dyDescent="0.35">
      <c r="A1253" s="1">
        <v>1206</v>
      </c>
      <c r="B1253" s="1" t="s">
        <v>25</v>
      </c>
      <c r="C1253" s="1">
        <v>0</v>
      </c>
    </row>
    <row r="1254" spans="1:3" x14ac:dyDescent="0.35">
      <c r="A1254" s="1">
        <v>1207</v>
      </c>
      <c r="B1254" s="1" t="s">
        <v>25</v>
      </c>
      <c r="C1254" s="1">
        <v>0</v>
      </c>
    </row>
    <row r="1255" spans="1:3" x14ac:dyDescent="0.35">
      <c r="A1255" s="1">
        <v>1208</v>
      </c>
      <c r="B1255" s="1" t="s">
        <v>25</v>
      </c>
      <c r="C1255" s="1">
        <v>0</v>
      </c>
    </row>
    <row r="1256" spans="1:3" x14ac:dyDescent="0.35">
      <c r="A1256" s="1">
        <v>1209</v>
      </c>
      <c r="B1256" s="1" t="s">
        <v>25</v>
      </c>
      <c r="C1256" s="1">
        <v>0</v>
      </c>
    </row>
    <row r="1257" spans="1:3" x14ac:dyDescent="0.35">
      <c r="A1257" s="1">
        <v>1210</v>
      </c>
      <c r="B1257" s="1" t="s">
        <v>25</v>
      </c>
      <c r="C1257" s="1">
        <v>0</v>
      </c>
    </row>
    <row r="1258" spans="1:3" x14ac:dyDescent="0.35">
      <c r="A1258" s="1">
        <v>1211</v>
      </c>
      <c r="B1258" s="1" t="s">
        <v>25</v>
      </c>
      <c r="C1258" s="1">
        <v>0</v>
      </c>
    </row>
    <row r="1259" spans="1:3" x14ac:dyDescent="0.35">
      <c r="A1259" s="1">
        <v>1212</v>
      </c>
      <c r="B1259" s="1" t="s">
        <v>25</v>
      </c>
      <c r="C1259" s="1">
        <v>0</v>
      </c>
    </row>
    <row r="1260" spans="1:3" x14ac:dyDescent="0.35">
      <c r="A1260" s="1">
        <v>1213</v>
      </c>
      <c r="B1260" s="1" t="s">
        <v>25</v>
      </c>
      <c r="C1260" s="1">
        <v>0</v>
      </c>
    </row>
    <row r="1261" spans="1:3" x14ac:dyDescent="0.35">
      <c r="A1261" s="1">
        <v>1214</v>
      </c>
      <c r="B1261" s="1" t="s">
        <v>25</v>
      </c>
      <c r="C1261" s="1">
        <v>0</v>
      </c>
    </row>
    <row r="1262" spans="1:3" x14ac:dyDescent="0.35">
      <c r="A1262" s="1">
        <v>1215</v>
      </c>
      <c r="B1262" s="1" t="s">
        <v>25</v>
      </c>
      <c r="C1262" s="1">
        <v>0</v>
      </c>
    </row>
    <row r="1263" spans="1:3" x14ac:dyDescent="0.35">
      <c r="A1263" s="1">
        <v>1216</v>
      </c>
      <c r="B1263" s="1" t="s">
        <v>25</v>
      </c>
      <c r="C1263" s="1">
        <v>0</v>
      </c>
    </row>
    <row r="1264" spans="1:3" x14ac:dyDescent="0.35">
      <c r="A1264" s="1">
        <v>1217</v>
      </c>
      <c r="B1264" s="1" t="s">
        <v>25</v>
      </c>
      <c r="C1264" s="1">
        <v>0</v>
      </c>
    </row>
    <row r="1265" spans="1:3" x14ac:dyDescent="0.35">
      <c r="A1265" s="1">
        <v>1218</v>
      </c>
      <c r="B1265" s="1" t="s">
        <v>25</v>
      </c>
      <c r="C1265" s="1">
        <v>0</v>
      </c>
    </row>
    <row r="1281" spans="1:1" x14ac:dyDescent="0.35">
      <c r="A1281" s="1">
        <v>1234</v>
      </c>
    </row>
    <row r="1282" spans="1:1" x14ac:dyDescent="0.35">
      <c r="A1282" s="1">
        <v>1235</v>
      </c>
    </row>
    <row r="1283" spans="1:1" x14ac:dyDescent="0.35">
      <c r="A1283" s="1">
        <v>1236</v>
      </c>
    </row>
    <row r="1284" spans="1:1" x14ac:dyDescent="0.35">
      <c r="A1284" s="1">
        <v>1237</v>
      </c>
    </row>
    <row r="1285" spans="1:1" x14ac:dyDescent="0.35">
      <c r="A1285" s="1">
        <v>1238</v>
      </c>
    </row>
    <row r="1286" spans="1:1" x14ac:dyDescent="0.35">
      <c r="A1286" s="1">
        <v>1239</v>
      </c>
    </row>
    <row r="1287" spans="1:1" x14ac:dyDescent="0.35">
      <c r="A1287" s="1">
        <v>1240</v>
      </c>
    </row>
    <row r="1288" spans="1:1" x14ac:dyDescent="0.35">
      <c r="A1288" s="1">
        <v>1241</v>
      </c>
    </row>
    <row r="1289" spans="1:1" x14ac:dyDescent="0.35">
      <c r="A1289" s="1">
        <v>1242</v>
      </c>
    </row>
    <row r="1290" spans="1:1" x14ac:dyDescent="0.35">
      <c r="A1290" s="1">
        <v>1243</v>
      </c>
    </row>
    <row r="1291" spans="1:1" x14ac:dyDescent="0.35">
      <c r="A1291" s="1">
        <v>1244</v>
      </c>
    </row>
    <row r="1292" spans="1:1" x14ac:dyDescent="0.35">
      <c r="A1292" s="1">
        <v>1245</v>
      </c>
    </row>
    <row r="1293" spans="1:1" x14ac:dyDescent="0.35">
      <c r="A1293" s="1">
        <v>1246</v>
      </c>
    </row>
    <row r="1294" spans="1:1" x14ac:dyDescent="0.35">
      <c r="A1294" s="1">
        <v>1247</v>
      </c>
    </row>
    <row r="1295" spans="1:1" x14ac:dyDescent="0.35">
      <c r="A1295" s="1">
        <v>1248</v>
      </c>
    </row>
    <row r="1296" spans="1:1" x14ac:dyDescent="0.35">
      <c r="A1296" s="1">
        <v>1249</v>
      </c>
    </row>
    <row r="1297" spans="1:1" x14ac:dyDescent="0.35">
      <c r="A1297" s="1">
        <v>1250</v>
      </c>
    </row>
    <row r="1298" spans="1:1" x14ac:dyDescent="0.35">
      <c r="A1298" s="1">
        <v>1251</v>
      </c>
    </row>
    <row r="1299" spans="1:1" x14ac:dyDescent="0.35">
      <c r="A1299" s="1">
        <v>1252</v>
      </c>
    </row>
    <row r="1300" spans="1:1" x14ac:dyDescent="0.35">
      <c r="A1300" s="1">
        <v>1253</v>
      </c>
    </row>
    <row r="1301" spans="1:1" x14ac:dyDescent="0.35">
      <c r="A1301" s="1">
        <v>1254</v>
      </c>
    </row>
    <row r="1302" spans="1:1" x14ac:dyDescent="0.35">
      <c r="A1302" s="1">
        <v>1255</v>
      </c>
    </row>
    <row r="1303" spans="1:1" x14ac:dyDescent="0.35">
      <c r="A1303" s="1">
        <v>1256</v>
      </c>
    </row>
    <row r="1304" spans="1:1" x14ac:dyDescent="0.35">
      <c r="A1304" s="1">
        <v>1257</v>
      </c>
    </row>
    <row r="1305" spans="1:1" x14ac:dyDescent="0.35">
      <c r="A1305" s="1">
        <v>1258</v>
      </c>
    </row>
    <row r="1306" spans="1:1" x14ac:dyDescent="0.35">
      <c r="A1306" s="1">
        <v>1259</v>
      </c>
    </row>
    <row r="1307" spans="1:1" x14ac:dyDescent="0.35">
      <c r="A1307" s="1">
        <v>1260</v>
      </c>
    </row>
    <row r="1308" spans="1:1" x14ac:dyDescent="0.35">
      <c r="A1308" s="1">
        <v>1261</v>
      </c>
    </row>
    <row r="1309" spans="1:1" x14ac:dyDescent="0.35">
      <c r="A1309" s="1">
        <v>1262</v>
      </c>
    </row>
    <row r="1310" spans="1:1" x14ac:dyDescent="0.35">
      <c r="A1310" s="1">
        <v>1263</v>
      </c>
    </row>
    <row r="1311" spans="1:1" x14ac:dyDescent="0.35">
      <c r="A1311" s="1">
        <v>1264</v>
      </c>
    </row>
    <row r="1312" spans="1:1" x14ac:dyDescent="0.35">
      <c r="A1312" s="1">
        <v>1265</v>
      </c>
    </row>
    <row r="1313" spans="1:1" x14ac:dyDescent="0.35">
      <c r="A1313" s="1">
        <v>1266</v>
      </c>
    </row>
    <row r="1314" spans="1:1" x14ac:dyDescent="0.35">
      <c r="A1314" s="1">
        <v>1267</v>
      </c>
    </row>
    <row r="1315" spans="1:1" x14ac:dyDescent="0.35">
      <c r="A1315" s="1">
        <v>1268</v>
      </c>
    </row>
    <row r="1316" spans="1:1" x14ac:dyDescent="0.35">
      <c r="A1316" s="1">
        <v>1269</v>
      </c>
    </row>
    <row r="1317" spans="1:1" x14ac:dyDescent="0.35">
      <c r="A1317" s="1">
        <v>1270</v>
      </c>
    </row>
    <row r="1318" spans="1:1" x14ac:dyDescent="0.35">
      <c r="A1318" s="1">
        <v>1271</v>
      </c>
    </row>
    <row r="1319" spans="1:1" x14ac:dyDescent="0.35">
      <c r="A1319" s="1">
        <v>1272</v>
      </c>
    </row>
    <row r="1320" spans="1:1" x14ac:dyDescent="0.35">
      <c r="A1320" s="1">
        <v>1273</v>
      </c>
    </row>
    <row r="1321" spans="1:1" x14ac:dyDescent="0.35">
      <c r="A1321" s="1">
        <v>1274</v>
      </c>
    </row>
    <row r="1322" spans="1:1" x14ac:dyDescent="0.35">
      <c r="A1322" s="1">
        <v>1275</v>
      </c>
    </row>
    <row r="1323" spans="1:1" x14ac:dyDescent="0.35">
      <c r="A1323" s="1">
        <v>1276</v>
      </c>
    </row>
    <row r="1324" spans="1:1" x14ac:dyDescent="0.35">
      <c r="A1324" s="1">
        <v>1277</v>
      </c>
    </row>
    <row r="1325" spans="1:1" x14ac:dyDescent="0.35">
      <c r="A1325" s="1">
        <v>1278</v>
      </c>
    </row>
    <row r="1326" spans="1:1" x14ac:dyDescent="0.35">
      <c r="A1326" s="1">
        <v>1279</v>
      </c>
    </row>
    <row r="1327" spans="1:1" x14ac:dyDescent="0.35">
      <c r="A1327" s="1">
        <v>1280</v>
      </c>
    </row>
    <row r="1328" spans="1:1" x14ac:dyDescent="0.35">
      <c r="A1328" s="1">
        <v>1281</v>
      </c>
    </row>
    <row r="1329" spans="1:1" x14ac:dyDescent="0.35">
      <c r="A1329" s="1">
        <v>1282</v>
      </c>
    </row>
    <row r="1330" spans="1:1" x14ac:dyDescent="0.35">
      <c r="A1330" s="1">
        <v>1283</v>
      </c>
    </row>
    <row r="1331" spans="1:1" x14ac:dyDescent="0.35">
      <c r="A1331" s="1">
        <v>1284</v>
      </c>
    </row>
    <row r="1332" spans="1:1" x14ac:dyDescent="0.35">
      <c r="A1332" s="1">
        <v>1285</v>
      </c>
    </row>
    <row r="1333" spans="1:1" x14ac:dyDescent="0.35">
      <c r="A1333" s="1">
        <v>1286</v>
      </c>
    </row>
    <row r="1334" spans="1:1" x14ac:dyDescent="0.35">
      <c r="A1334" s="1">
        <v>1287</v>
      </c>
    </row>
    <row r="1335" spans="1:1" x14ac:dyDescent="0.35">
      <c r="A1335" s="1">
        <v>1288</v>
      </c>
    </row>
    <row r="1336" spans="1:1" x14ac:dyDescent="0.35">
      <c r="A1336" s="1">
        <v>1289</v>
      </c>
    </row>
    <row r="1337" spans="1:1" x14ac:dyDescent="0.35">
      <c r="A1337" s="1">
        <v>1290</v>
      </c>
    </row>
    <row r="1338" spans="1:1" x14ac:dyDescent="0.35">
      <c r="A1338" s="1">
        <v>1291</v>
      </c>
    </row>
    <row r="1339" spans="1:1" x14ac:dyDescent="0.35">
      <c r="A1339" s="1">
        <v>1292</v>
      </c>
    </row>
    <row r="1340" spans="1:1" x14ac:dyDescent="0.35">
      <c r="A1340" s="1">
        <v>1293</v>
      </c>
    </row>
    <row r="1341" spans="1:1" x14ac:dyDescent="0.35">
      <c r="A1341" s="1">
        <v>1294</v>
      </c>
    </row>
    <row r="1342" spans="1:1" x14ac:dyDescent="0.35">
      <c r="A1342" s="1">
        <v>1295</v>
      </c>
    </row>
    <row r="1343" spans="1:1" x14ac:dyDescent="0.35">
      <c r="A1343" s="1">
        <v>1296</v>
      </c>
    </row>
    <row r="1344" spans="1:1" x14ac:dyDescent="0.35">
      <c r="A1344" s="1">
        <v>1297</v>
      </c>
    </row>
    <row r="1345" spans="1:1" x14ac:dyDescent="0.35">
      <c r="A1345" s="1">
        <v>1298</v>
      </c>
    </row>
    <row r="1346" spans="1:1" x14ac:dyDescent="0.35">
      <c r="A1346" s="1">
        <v>1299</v>
      </c>
    </row>
    <row r="1347" spans="1:1" x14ac:dyDescent="0.35">
      <c r="A1347" s="1">
        <v>1300</v>
      </c>
    </row>
    <row r="1348" spans="1:1" x14ac:dyDescent="0.35">
      <c r="A1348" s="1">
        <v>1301</v>
      </c>
    </row>
    <row r="1349" spans="1:1" x14ac:dyDescent="0.35">
      <c r="A1349" s="1">
        <v>1302</v>
      </c>
    </row>
    <row r="1350" spans="1:1" x14ac:dyDescent="0.35">
      <c r="A1350" s="1">
        <v>1303</v>
      </c>
    </row>
    <row r="1351" spans="1:1" x14ac:dyDescent="0.35">
      <c r="A1351" s="1">
        <v>1304</v>
      </c>
    </row>
    <row r="1352" spans="1:1" x14ac:dyDescent="0.35">
      <c r="A1352" s="1">
        <v>1305</v>
      </c>
    </row>
  </sheetData>
  <sortState xmlns:xlrd2="http://schemas.microsoft.com/office/spreadsheetml/2017/richdata2" ref="B48:C1265">
    <sortCondition descending="1" ref="C48:C1265"/>
  </sortState>
  <mergeCells count="3">
    <mergeCell ref="M1:R8"/>
    <mergeCell ref="D4:E4"/>
    <mergeCell ref="A4:B4"/>
  </mergeCells>
  <conditionalFormatting sqref="B29:CJ47">
    <cfRule type="expression" dxfId="1" priority="2">
      <formula>B29&gt;LARGE($B$29:$CJ$43,$D$2+1)</formula>
    </cfRule>
  </conditionalFormatting>
  <conditionalFormatting sqref="G26">
    <cfRule type="cellIs" dxfId="0" priority="1" operator="equal">
      <formula>"Ok!"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3"/>
  <dimension ref="A1:M23"/>
  <sheetViews>
    <sheetView workbookViewId="0">
      <selection activeCell="A7" sqref="A7"/>
    </sheetView>
  </sheetViews>
  <sheetFormatPr baseColWidth="10" defaultColWidth="11.453125" defaultRowHeight="14.5" x14ac:dyDescent="0.35"/>
  <cols>
    <col min="1" max="1" width="11.453125" style="7"/>
    <col min="2" max="2" width="15.7265625" style="1" customWidth="1"/>
    <col min="3" max="3" width="11.453125" style="1"/>
    <col min="4" max="4" width="21.54296875" style="1" customWidth="1"/>
    <col min="5" max="6" width="15" style="1" customWidth="1"/>
    <col min="7" max="16384" width="11.453125" style="1"/>
  </cols>
  <sheetData>
    <row r="1" spans="1:13" x14ac:dyDescent="0.35">
      <c r="J1" s="46" t="s">
        <v>26</v>
      </c>
      <c r="K1" s="47"/>
      <c r="L1" s="47"/>
      <c r="M1" s="48"/>
    </row>
    <row r="2" spans="1:13" x14ac:dyDescent="0.35">
      <c r="A2" s="55" t="s">
        <v>17</v>
      </c>
      <c r="B2" s="55"/>
      <c r="J2" s="49"/>
      <c r="K2" s="50"/>
      <c r="L2" s="50"/>
      <c r="M2" s="51"/>
    </row>
    <row r="3" spans="1:13" x14ac:dyDescent="0.35">
      <c r="A3" s="4" t="s">
        <v>14</v>
      </c>
      <c r="B3" s="18"/>
      <c r="C3" s="56" t="s">
        <v>24</v>
      </c>
      <c r="D3" s="56"/>
      <c r="E3" s="17"/>
      <c r="J3" s="49"/>
      <c r="K3" s="50"/>
      <c r="L3" s="50"/>
      <c r="M3" s="51"/>
    </row>
    <row r="4" spans="1:13" x14ac:dyDescent="0.35">
      <c r="A4" s="1"/>
      <c r="C4" s="19" t="s">
        <v>25</v>
      </c>
      <c r="D4" s="22" t="s">
        <v>23</v>
      </c>
      <c r="E4" s="1">
        <f>SUM(E3*0.25)</f>
        <v>0</v>
      </c>
      <c r="J4" s="49"/>
      <c r="K4" s="50"/>
      <c r="L4" s="50"/>
      <c r="M4" s="51"/>
    </row>
    <row r="5" spans="1:13" x14ac:dyDescent="0.35">
      <c r="J5" s="49"/>
      <c r="K5" s="50"/>
      <c r="L5" s="50"/>
      <c r="M5" s="51"/>
    </row>
    <row r="6" spans="1:13" x14ac:dyDescent="0.35">
      <c r="A6" s="20" t="s">
        <v>0</v>
      </c>
      <c r="B6" s="21" t="s">
        <v>1</v>
      </c>
      <c r="C6" s="27" t="s">
        <v>2</v>
      </c>
      <c r="D6" s="32" t="s">
        <v>3</v>
      </c>
      <c r="E6" s="21" t="s">
        <v>4</v>
      </c>
      <c r="F6" s="25" t="s">
        <v>23</v>
      </c>
      <c r="G6" s="28" t="s">
        <v>5</v>
      </c>
      <c r="H6" s="21" t="s">
        <v>6</v>
      </c>
      <c r="J6" s="49"/>
      <c r="K6" s="50"/>
      <c r="L6" s="50"/>
      <c r="M6" s="51"/>
    </row>
    <row r="7" spans="1:13" x14ac:dyDescent="0.35">
      <c r="A7" s="9">
        <v>1</v>
      </c>
      <c r="B7" s="3"/>
      <c r="C7" s="23"/>
      <c r="D7" s="3"/>
      <c r="E7" s="17"/>
      <c r="F7" s="33">
        <f>SUM($E$4)</f>
        <v>0</v>
      </c>
      <c r="G7" s="29">
        <f>SUM(D7:F7)</f>
        <v>0</v>
      </c>
      <c r="H7" s="5"/>
      <c r="J7" s="49"/>
      <c r="K7" s="50"/>
      <c r="L7" s="50"/>
      <c r="M7" s="51"/>
    </row>
    <row r="8" spans="1:13" x14ac:dyDescent="0.35">
      <c r="A8" s="9">
        <v>2</v>
      </c>
      <c r="B8" s="3"/>
      <c r="C8" s="23"/>
      <c r="D8" s="3"/>
      <c r="E8" s="24"/>
      <c r="F8" s="33">
        <f>SUM($E$4)</f>
        <v>0</v>
      </c>
      <c r="G8" s="29">
        <f t="shared" ref="G8:G22" si="0">SUM(D8:F8)</f>
        <v>0</v>
      </c>
      <c r="H8" s="5"/>
      <c r="J8" s="49"/>
      <c r="K8" s="50"/>
      <c r="L8" s="50"/>
      <c r="M8" s="51"/>
    </row>
    <row r="9" spans="1:13" ht="15" thickBot="1" x14ac:dyDescent="0.4">
      <c r="A9" s="9">
        <v>3</v>
      </c>
      <c r="B9" s="3"/>
      <c r="C9" s="23"/>
      <c r="D9" s="26"/>
      <c r="E9" s="30"/>
      <c r="F9" s="33">
        <f>SUM($E$4)</f>
        <v>0</v>
      </c>
      <c r="G9" s="29">
        <f t="shared" si="0"/>
        <v>0</v>
      </c>
      <c r="H9" s="5"/>
      <c r="J9" s="52"/>
      <c r="K9" s="53"/>
      <c r="L9" s="53"/>
      <c r="M9" s="54"/>
    </row>
    <row r="10" spans="1:13" x14ac:dyDescent="0.35">
      <c r="A10" s="9">
        <v>4</v>
      </c>
      <c r="B10" s="3"/>
      <c r="C10" s="23"/>
      <c r="D10" s="3"/>
      <c r="E10" s="31"/>
      <c r="F10" s="33">
        <f>SUM($E$4)</f>
        <v>0</v>
      </c>
      <c r="G10" s="29">
        <f t="shared" si="0"/>
        <v>0</v>
      </c>
      <c r="H10" s="5"/>
    </row>
    <row r="11" spans="1:13" x14ac:dyDescent="0.35">
      <c r="A11" s="9">
        <v>5</v>
      </c>
      <c r="B11" s="3"/>
      <c r="C11" s="23"/>
      <c r="D11" s="3"/>
      <c r="E11" s="3"/>
      <c r="F11" s="33">
        <f>SUM($E$4)</f>
        <v>0</v>
      </c>
      <c r="G11" s="5">
        <f t="shared" si="0"/>
        <v>0</v>
      </c>
      <c r="H11" s="5"/>
    </row>
    <row r="12" spans="1:13" x14ac:dyDescent="0.35">
      <c r="A12" s="9">
        <v>6</v>
      </c>
      <c r="B12" s="3"/>
      <c r="C12" s="3"/>
      <c r="D12" s="3"/>
      <c r="E12" s="3"/>
      <c r="F12" s="34" t="s">
        <v>15</v>
      </c>
      <c r="G12" s="5">
        <f t="shared" si="0"/>
        <v>0</v>
      </c>
      <c r="H12" s="5"/>
    </row>
    <row r="13" spans="1:13" x14ac:dyDescent="0.35">
      <c r="A13" s="9">
        <v>7</v>
      </c>
      <c r="B13" s="3"/>
      <c r="C13" s="3"/>
      <c r="D13" s="3"/>
      <c r="E13" s="3"/>
      <c r="F13" s="34" t="s">
        <v>15</v>
      </c>
      <c r="G13" s="5">
        <f t="shared" si="0"/>
        <v>0</v>
      </c>
      <c r="H13" s="5"/>
    </row>
    <row r="14" spans="1:13" x14ac:dyDescent="0.35">
      <c r="A14" s="9">
        <v>8</v>
      </c>
      <c r="B14" s="3"/>
      <c r="C14" s="3"/>
      <c r="D14" s="3"/>
      <c r="E14" s="3"/>
      <c r="F14" s="34" t="s">
        <v>15</v>
      </c>
      <c r="G14" s="5">
        <f t="shared" si="0"/>
        <v>0</v>
      </c>
      <c r="H14" s="5"/>
    </row>
    <row r="15" spans="1:13" x14ac:dyDescent="0.35">
      <c r="A15" s="9">
        <v>9</v>
      </c>
      <c r="B15" s="3"/>
      <c r="C15" s="3"/>
      <c r="D15" s="3"/>
      <c r="E15" s="3"/>
      <c r="F15" s="34" t="s">
        <v>15</v>
      </c>
      <c r="G15" s="5">
        <f t="shared" si="0"/>
        <v>0</v>
      </c>
      <c r="H15" s="5"/>
    </row>
    <row r="16" spans="1:13" x14ac:dyDescent="0.35">
      <c r="A16" s="9">
        <v>10</v>
      </c>
      <c r="B16" s="3"/>
      <c r="C16" s="3"/>
      <c r="D16" s="3"/>
      <c r="E16" s="3"/>
      <c r="F16" s="34" t="s">
        <v>15</v>
      </c>
      <c r="G16" s="5">
        <f t="shared" si="0"/>
        <v>0</v>
      </c>
      <c r="H16" s="5"/>
    </row>
    <row r="17" spans="1:8" x14ac:dyDescent="0.35">
      <c r="A17" s="9">
        <v>11</v>
      </c>
      <c r="B17" s="3"/>
      <c r="C17" s="3"/>
      <c r="D17" s="3"/>
      <c r="E17" s="3"/>
      <c r="F17" s="34" t="s">
        <v>15</v>
      </c>
      <c r="G17" s="5">
        <f t="shared" si="0"/>
        <v>0</v>
      </c>
      <c r="H17" s="5"/>
    </row>
    <row r="18" spans="1:8" x14ac:dyDescent="0.35">
      <c r="A18" s="9">
        <v>12</v>
      </c>
      <c r="B18" s="3"/>
      <c r="C18" s="3"/>
      <c r="D18" s="3"/>
      <c r="E18" s="3"/>
      <c r="F18" s="34" t="s">
        <v>15</v>
      </c>
      <c r="G18" s="5">
        <f t="shared" si="0"/>
        <v>0</v>
      </c>
      <c r="H18" s="5"/>
    </row>
    <row r="19" spans="1:8" x14ac:dyDescent="0.35">
      <c r="A19" s="9">
        <v>13</v>
      </c>
      <c r="B19" s="3"/>
      <c r="C19" s="3"/>
      <c r="D19" s="3"/>
      <c r="E19" s="3"/>
      <c r="F19" s="34" t="s">
        <v>15</v>
      </c>
      <c r="G19" s="5">
        <f t="shared" si="0"/>
        <v>0</v>
      </c>
      <c r="H19" s="5"/>
    </row>
    <row r="20" spans="1:8" x14ac:dyDescent="0.35">
      <c r="A20" s="9">
        <v>14</v>
      </c>
      <c r="B20" s="3"/>
      <c r="C20" s="3"/>
      <c r="D20" s="3"/>
      <c r="E20" s="3"/>
      <c r="F20" s="34" t="s">
        <v>15</v>
      </c>
      <c r="G20" s="5">
        <f t="shared" si="0"/>
        <v>0</v>
      </c>
      <c r="H20" s="5"/>
    </row>
    <row r="21" spans="1:8" x14ac:dyDescent="0.35">
      <c r="A21" s="9">
        <v>15</v>
      </c>
      <c r="B21" s="3"/>
      <c r="C21" s="3"/>
      <c r="D21" s="3"/>
      <c r="E21" s="3"/>
      <c r="F21" s="34" t="s">
        <v>15</v>
      </c>
      <c r="G21" s="5">
        <f t="shared" si="0"/>
        <v>0</v>
      </c>
      <c r="H21" s="5"/>
    </row>
    <row r="22" spans="1:8" x14ac:dyDescent="0.35">
      <c r="A22" s="9" t="s">
        <v>7</v>
      </c>
      <c r="B22" s="3"/>
      <c r="C22" s="3"/>
      <c r="D22" s="3"/>
      <c r="E22" s="3"/>
      <c r="F22" s="34" t="s">
        <v>15</v>
      </c>
      <c r="G22" s="5">
        <f t="shared" si="0"/>
        <v>0</v>
      </c>
      <c r="H22" s="5"/>
    </row>
    <row r="23" spans="1:8" x14ac:dyDescent="0.35">
      <c r="A23" s="9" t="s">
        <v>5</v>
      </c>
      <c r="B23" s="5"/>
      <c r="C23" s="5"/>
      <c r="D23" s="5">
        <f>SUM(D7:D22)</f>
        <v>0</v>
      </c>
      <c r="E23" s="5">
        <f>SUM(E7:E22)</f>
        <v>0</v>
      </c>
      <c r="F23" s="5"/>
      <c r="G23" s="5"/>
      <c r="H23" s="5"/>
    </row>
  </sheetData>
  <mergeCells count="3">
    <mergeCell ref="A2:B2"/>
    <mergeCell ref="C3:D3"/>
    <mergeCell ref="J1:M9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4"/>
  <dimension ref="A1:M8"/>
  <sheetViews>
    <sheetView workbookViewId="0">
      <selection activeCell="A7" sqref="A7"/>
    </sheetView>
  </sheetViews>
  <sheetFormatPr baseColWidth="10" defaultRowHeight="14.5" x14ac:dyDescent="0.35"/>
  <sheetData>
    <row r="1" spans="1:13" x14ac:dyDescent="0.35">
      <c r="B1" s="2" t="s">
        <v>9</v>
      </c>
    </row>
    <row r="2" spans="1:13" x14ac:dyDescent="0.35">
      <c r="A2" s="2" t="s">
        <v>14</v>
      </c>
      <c r="B2">
        <v>1.4</v>
      </c>
      <c r="C2">
        <v>3</v>
      </c>
      <c r="D2">
        <v>5</v>
      </c>
      <c r="E2">
        <v>17</v>
      </c>
      <c r="F2">
        <v>11</v>
      </c>
      <c r="G2">
        <v>13</v>
      </c>
      <c r="H2">
        <v>15</v>
      </c>
      <c r="I2">
        <v>17</v>
      </c>
      <c r="J2">
        <v>19</v>
      </c>
      <c r="K2">
        <v>21</v>
      </c>
      <c r="L2">
        <v>23</v>
      </c>
      <c r="M2">
        <v>25</v>
      </c>
    </row>
    <row r="3" spans="1:13" x14ac:dyDescent="0.35">
      <c r="A3" t="s">
        <v>15</v>
      </c>
    </row>
    <row r="4" spans="1:13" x14ac:dyDescent="0.35">
      <c r="A4" t="s">
        <v>15</v>
      </c>
    </row>
    <row r="5" spans="1:13" x14ac:dyDescent="0.35">
      <c r="A5" t="s">
        <v>15</v>
      </c>
    </row>
    <row r="6" spans="1:13" x14ac:dyDescent="0.35">
      <c r="A6" t="s">
        <v>15</v>
      </c>
    </row>
    <row r="7" spans="1:13" x14ac:dyDescent="0.35">
      <c r="A7" t="s">
        <v>15</v>
      </c>
    </row>
    <row r="8" spans="1:13" x14ac:dyDescent="0.35">
      <c r="A8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Mandatfordeling</vt:lpstr>
      <vt:lpstr>Parti - Kandidatkåring</vt:lpstr>
      <vt:lpstr>Nytt valgoppgjør</vt:lpstr>
    </vt:vector>
  </TitlesOfParts>
  <Company>STATEN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Else Muri</dc:creator>
  <cp:lastModifiedBy>Christensen, Herman</cp:lastModifiedBy>
  <cp:lastPrinted>2018-01-25T08:35:58Z</cp:lastPrinted>
  <dcterms:created xsi:type="dcterms:W3CDTF">2015-08-26T08:51:02Z</dcterms:created>
  <dcterms:modified xsi:type="dcterms:W3CDTF">2023-09-14T11:33:50Z</dcterms:modified>
</cp:coreProperties>
</file>